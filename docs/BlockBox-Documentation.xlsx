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agen\Downloads\"/>
    </mc:Choice>
  </mc:AlternateContent>
  <xr:revisionPtr revIDLastSave="0" documentId="13_ncr:1_{7AE00085-3E9B-4B7E-AB50-43199C1A8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BLOCK_CATALOG" sheetId="2" r:id="rId2"/>
    <sheet name="VISIBILITY_STATES" sheetId="3" r:id="rId3"/>
    <sheet name="ATTRIBUTES" sheetId="4" r:id="rId4"/>
    <sheet name="CHANGELOG" sheetId="5" r:id="rId5"/>
    <sheet name="CATEGORIES" sheetId="6" r:id="rId6"/>
    <sheet name="CANVA_EXPORT" sheetId="7" r:id="rId7"/>
    <sheet name="RELEASE_TRACKER" sheetId="8" r:id="rId8"/>
    <sheet name="SETUP" sheetId="9" r:id="rId9"/>
    <sheet name="README" sheetId="10" r:id="rId10"/>
  </sheets>
  <definedNames>
    <definedName name="BlockTypes">Table8[Block Types]</definedName>
    <definedName name="Categories">Table10[Categories]</definedName>
    <definedName name="Owners">Table13[Owners]</definedName>
    <definedName name="ReleaseTypes">Table12[Release Types]</definedName>
    <definedName name="Statuses">Table9[Statuses]</definedName>
    <definedName name="YesNo">Table11[Yes/No]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8" l="1"/>
  <c r="E104" i="8"/>
  <c r="D104" i="8"/>
  <c r="C104" i="8"/>
  <c r="B104" i="8"/>
  <c r="A104" i="8"/>
  <c r="I103" i="8"/>
  <c r="H103" i="8"/>
  <c r="J103" i="8" s="1"/>
  <c r="F103" i="8"/>
  <c r="E103" i="8"/>
  <c r="D103" i="8"/>
  <c r="C103" i="8"/>
  <c r="B103" i="8"/>
  <c r="A103" i="8"/>
  <c r="I102" i="8"/>
  <c r="E102" i="8"/>
  <c r="D102" i="8"/>
  <c r="C102" i="8"/>
  <c r="B102" i="8"/>
  <c r="A102" i="8"/>
  <c r="I101" i="8"/>
  <c r="E101" i="8"/>
  <c r="H101" i="8" s="1"/>
  <c r="J101" i="8" s="1"/>
  <c r="D101" i="8"/>
  <c r="C101" i="8"/>
  <c r="B101" i="8"/>
  <c r="A101" i="8"/>
  <c r="I100" i="8"/>
  <c r="E100" i="8"/>
  <c r="D100" i="8"/>
  <c r="C100" i="8"/>
  <c r="B100" i="8"/>
  <c r="A100" i="8"/>
  <c r="H100" i="8" s="1"/>
  <c r="J100" i="8" s="1"/>
  <c r="I99" i="8"/>
  <c r="E99" i="8"/>
  <c r="D99" i="8"/>
  <c r="C99" i="8"/>
  <c r="B99" i="8"/>
  <c r="A99" i="8"/>
  <c r="F99" i="8" s="1"/>
  <c r="I98" i="8"/>
  <c r="E98" i="8"/>
  <c r="D98" i="8"/>
  <c r="F98" i="8" s="1"/>
  <c r="C98" i="8"/>
  <c r="B98" i="8"/>
  <c r="A98" i="8"/>
  <c r="H98" i="8" s="1"/>
  <c r="J98" i="8" s="1"/>
  <c r="I97" i="8"/>
  <c r="E97" i="8"/>
  <c r="D97" i="8"/>
  <c r="C97" i="8"/>
  <c r="B97" i="8"/>
  <c r="A97" i="8"/>
  <c r="H97" i="8" s="1"/>
  <c r="I96" i="8"/>
  <c r="F96" i="8"/>
  <c r="E96" i="8"/>
  <c r="H96" i="8" s="1"/>
  <c r="J96" i="8" s="1"/>
  <c r="D96" i="8"/>
  <c r="C96" i="8"/>
  <c r="B96" i="8"/>
  <c r="A96" i="8"/>
  <c r="I95" i="8"/>
  <c r="E95" i="8"/>
  <c r="D95" i="8"/>
  <c r="C95" i="8"/>
  <c r="B95" i="8"/>
  <c r="A95" i="8"/>
  <c r="I94" i="8"/>
  <c r="E94" i="8"/>
  <c r="H94" i="8" s="1"/>
  <c r="J94" i="8" s="1"/>
  <c r="D94" i="8"/>
  <c r="F94" i="8" s="1"/>
  <c r="C94" i="8"/>
  <c r="B94" i="8"/>
  <c r="A94" i="8"/>
  <c r="I93" i="8"/>
  <c r="E93" i="8"/>
  <c r="D93" i="8"/>
  <c r="C93" i="8"/>
  <c r="B93" i="8"/>
  <c r="A93" i="8"/>
  <c r="I92" i="8"/>
  <c r="E92" i="8"/>
  <c r="D92" i="8"/>
  <c r="C92" i="8"/>
  <c r="B92" i="8"/>
  <c r="A92" i="8"/>
  <c r="I91" i="8"/>
  <c r="E91" i="8"/>
  <c r="H91" i="8" s="1"/>
  <c r="J91" i="8" s="1"/>
  <c r="D91" i="8"/>
  <c r="F91" i="8" s="1"/>
  <c r="C91" i="8"/>
  <c r="B91" i="8"/>
  <c r="A91" i="8"/>
  <c r="I90" i="8"/>
  <c r="E90" i="8"/>
  <c r="D90" i="8"/>
  <c r="C90" i="8"/>
  <c r="B90" i="8"/>
  <c r="A90" i="8"/>
  <c r="H90" i="8" s="1"/>
  <c r="I89" i="8"/>
  <c r="E89" i="8"/>
  <c r="H89" i="8" s="1"/>
  <c r="J89" i="8" s="1"/>
  <c r="D89" i="8"/>
  <c r="C89" i="8"/>
  <c r="B89" i="8"/>
  <c r="A89" i="8"/>
  <c r="I88" i="8"/>
  <c r="E88" i="8"/>
  <c r="D88" i="8"/>
  <c r="C88" i="8"/>
  <c r="B88" i="8"/>
  <c r="A88" i="8"/>
  <c r="I87" i="8"/>
  <c r="H87" i="8"/>
  <c r="J87" i="8" s="1"/>
  <c r="E87" i="8"/>
  <c r="D87" i="8"/>
  <c r="F87" i="8" s="1"/>
  <c r="C87" i="8"/>
  <c r="B87" i="8"/>
  <c r="A87" i="8"/>
  <c r="I86" i="8"/>
  <c r="H86" i="8"/>
  <c r="E86" i="8"/>
  <c r="F86" i="8" s="1"/>
  <c r="D86" i="8"/>
  <c r="C86" i="8"/>
  <c r="B86" i="8"/>
  <c r="A86" i="8"/>
  <c r="J86" i="8" s="1"/>
  <c r="I85" i="8"/>
  <c r="E85" i="8"/>
  <c r="H85" i="8" s="1"/>
  <c r="J85" i="8" s="1"/>
  <c r="D85" i="8"/>
  <c r="C85" i="8"/>
  <c r="B85" i="8"/>
  <c r="A85" i="8"/>
  <c r="J84" i="8"/>
  <c r="I84" i="8"/>
  <c r="H84" i="8"/>
  <c r="E84" i="8"/>
  <c r="D84" i="8"/>
  <c r="F84" i="8" s="1"/>
  <c r="C84" i="8"/>
  <c r="B84" i="8"/>
  <c r="A84" i="8"/>
  <c r="I83" i="8"/>
  <c r="E83" i="8"/>
  <c r="D83" i="8"/>
  <c r="C83" i="8"/>
  <c r="B83" i="8"/>
  <c r="A83" i="8"/>
  <c r="F83" i="8" s="1"/>
  <c r="J82" i="8"/>
  <c r="I82" i="8"/>
  <c r="H82" i="8"/>
  <c r="E82" i="8"/>
  <c r="D82" i="8"/>
  <c r="F82" i="8" s="1"/>
  <c r="C82" i="8"/>
  <c r="B82" i="8"/>
  <c r="A82" i="8"/>
  <c r="I81" i="8"/>
  <c r="E81" i="8"/>
  <c r="D81" i="8"/>
  <c r="C81" i="8"/>
  <c r="B81" i="8"/>
  <c r="A81" i="8"/>
  <c r="H81" i="8" s="1"/>
  <c r="J80" i="8"/>
  <c r="I80" i="8"/>
  <c r="H80" i="8"/>
  <c r="F80" i="8"/>
  <c r="E80" i="8"/>
  <c r="D80" i="8"/>
  <c r="C80" i="8"/>
  <c r="B80" i="8"/>
  <c r="A80" i="8"/>
  <c r="I79" i="8"/>
  <c r="E79" i="8"/>
  <c r="D79" i="8"/>
  <c r="C79" i="8"/>
  <c r="B79" i="8"/>
  <c r="A79" i="8"/>
  <c r="I78" i="8"/>
  <c r="E78" i="8"/>
  <c r="H78" i="8" s="1"/>
  <c r="J78" i="8" s="1"/>
  <c r="D78" i="8"/>
  <c r="F78" i="8" s="1"/>
  <c r="C78" i="8"/>
  <c r="B78" i="8"/>
  <c r="A78" i="8"/>
  <c r="I77" i="8"/>
  <c r="E77" i="8"/>
  <c r="D77" i="8"/>
  <c r="C77" i="8"/>
  <c r="B77" i="8"/>
  <c r="A77" i="8"/>
  <c r="I76" i="8"/>
  <c r="E76" i="8"/>
  <c r="D76" i="8"/>
  <c r="C76" i="8"/>
  <c r="B76" i="8"/>
  <c r="A76" i="8"/>
  <c r="I75" i="8"/>
  <c r="E75" i="8"/>
  <c r="H75" i="8" s="1"/>
  <c r="J75" i="8" s="1"/>
  <c r="D75" i="8"/>
  <c r="C75" i="8"/>
  <c r="B75" i="8"/>
  <c r="A75" i="8"/>
  <c r="I74" i="8"/>
  <c r="E74" i="8"/>
  <c r="D74" i="8"/>
  <c r="C74" i="8"/>
  <c r="B74" i="8"/>
  <c r="A74" i="8"/>
  <c r="H74" i="8" s="1"/>
  <c r="I73" i="8"/>
  <c r="E73" i="8"/>
  <c r="H73" i="8" s="1"/>
  <c r="J73" i="8" s="1"/>
  <c r="D73" i="8"/>
  <c r="C73" i="8"/>
  <c r="B73" i="8"/>
  <c r="A73" i="8"/>
  <c r="I72" i="8"/>
  <c r="E72" i="8"/>
  <c r="D72" i="8"/>
  <c r="C72" i="8"/>
  <c r="B72" i="8"/>
  <c r="A72" i="8"/>
  <c r="I71" i="8"/>
  <c r="H71" i="8"/>
  <c r="J71" i="8" s="1"/>
  <c r="E71" i="8"/>
  <c r="D71" i="8"/>
  <c r="F71" i="8" s="1"/>
  <c r="C71" i="8"/>
  <c r="B71" i="8"/>
  <c r="A71" i="8"/>
  <c r="I70" i="8"/>
  <c r="H70" i="8"/>
  <c r="E70" i="8"/>
  <c r="D70" i="8"/>
  <c r="C70" i="8"/>
  <c r="B70" i="8"/>
  <c r="A70" i="8"/>
  <c r="J70" i="8" s="1"/>
  <c r="I69" i="8"/>
  <c r="E69" i="8"/>
  <c r="H69" i="8" s="1"/>
  <c r="J69" i="8" s="1"/>
  <c r="D69" i="8"/>
  <c r="C69" i="8"/>
  <c r="B69" i="8"/>
  <c r="A69" i="8"/>
  <c r="I68" i="8"/>
  <c r="E68" i="8"/>
  <c r="H68" i="8" s="1"/>
  <c r="J68" i="8" s="1"/>
  <c r="D68" i="8"/>
  <c r="F68" i="8" s="1"/>
  <c r="C68" i="8"/>
  <c r="B68" i="8"/>
  <c r="A68" i="8"/>
  <c r="I67" i="8"/>
  <c r="E67" i="8"/>
  <c r="D67" i="8"/>
  <c r="C67" i="8"/>
  <c r="B67" i="8"/>
  <c r="A67" i="8"/>
  <c r="F67" i="8" s="1"/>
  <c r="J66" i="8"/>
  <c r="I66" i="8"/>
  <c r="H66" i="8"/>
  <c r="E66" i="8"/>
  <c r="D66" i="8"/>
  <c r="F66" i="8" s="1"/>
  <c r="C66" i="8"/>
  <c r="B66" i="8"/>
  <c r="A66" i="8"/>
  <c r="I65" i="8"/>
  <c r="E65" i="8"/>
  <c r="D65" i="8"/>
  <c r="C65" i="8"/>
  <c r="B65" i="8"/>
  <c r="A65" i="8"/>
  <c r="H65" i="8" s="1"/>
  <c r="J64" i="8"/>
  <c r="I64" i="8"/>
  <c r="H64" i="8"/>
  <c r="F64" i="8"/>
  <c r="E64" i="8"/>
  <c r="D64" i="8"/>
  <c r="C64" i="8"/>
  <c r="B64" i="8"/>
  <c r="A64" i="8"/>
  <c r="I63" i="8"/>
  <c r="E63" i="8"/>
  <c r="D63" i="8"/>
  <c r="C63" i="8"/>
  <c r="B63" i="8"/>
  <c r="A63" i="8"/>
  <c r="I62" i="8"/>
  <c r="E62" i="8"/>
  <c r="H62" i="8" s="1"/>
  <c r="J62" i="8" s="1"/>
  <c r="D62" i="8"/>
  <c r="F62" i="8" s="1"/>
  <c r="C62" i="8"/>
  <c r="B62" i="8"/>
  <c r="A62" i="8"/>
  <c r="I61" i="8"/>
  <c r="E61" i="8"/>
  <c r="D61" i="8"/>
  <c r="C61" i="8"/>
  <c r="B61" i="8"/>
  <c r="A61" i="8"/>
  <c r="I60" i="8"/>
  <c r="E60" i="8"/>
  <c r="D60" i="8"/>
  <c r="C60" i="8"/>
  <c r="B60" i="8"/>
  <c r="A60" i="8"/>
  <c r="I59" i="8"/>
  <c r="E59" i="8"/>
  <c r="H59" i="8" s="1"/>
  <c r="J59" i="8" s="1"/>
  <c r="D59" i="8"/>
  <c r="C59" i="8"/>
  <c r="B59" i="8"/>
  <c r="A59" i="8"/>
  <c r="I58" i="8"/>
  <c r="E58" i="8"/>
  <c r="D58" i="8"/>
  <c r="C58" i="8"/>
  <c r="B58" i="8"/>
  <c r="A58" i="8"/>
  <c r="H58" i="8" s="1"/>
  <c r="I57" i="8"/>
  <c r="E57" i="8"/>
  <c r="H57" i="8" s="1"/>
  <c r="J57" i="8" s="1"/>
  <c r="D57" i="8"/>
  <c r="C57" i="8"/>
  <c r="B57" i="8"/>
  <c r="A57" i="8"/>
  <c r="I56" i="8"/>
  <c r="E56" i="8"/>
  <c r="D56" i="8"/>
  <c r="C56" i="8"/>
  <c r="B56" i="8"/>
  <c r="A56" i="8"/>
  <c r="I55" i="8"/>
  <c r="H55" i="8"/>
  <c r="J55" i="8" s="1"/>
  <c r="E55" i="8"/>
  <c r="D55" i="8"/>
  <c r="F55" i="8" s="1"/>
  <c r="C55" i="8"/>
  <c r="B55" i="8"/>
  <c r="A55" i="8"/>
  <c r="I54" i="8"/>
  <c r="H54" i="8"/>
  <c r="E54" i="8"/>
  <c r="D54" i="8"/>
  <c r="C54" i="8"/>
  <c r="B54" i="8"/>
  <c r="A54" i="8"/>
  <c r="J54" i="8" s="1"/>
  <c r="I53" i="8"/>
  <c r="E53" i="8"/>
  <c r="H53" i="8" s="1"/>
  <c r="J53" i="8" s="1"/>
  <c r="D53" i="8"/>
  <c r="C53" i="8"/>
  <c r="B53" i="8"/>
  <c r="A53" i="8"/>
  <c r="J52" i="8"/>
  <c r="I52" i="8"/>
  <c r="H52" i="8"/>
  <c r="E52" i="8"/>
  <c r="D52" i="8"/>
  <c r="F52" i="8" s="1"/>
  <c r="C52" i="8"/>
  <c r="B52" i="8"/>
  <c r="A52" i="8"/>
  <c r="I51" i="8"/>
  <c r="E51" i="8"/>
  <c r="D51" i="8"/>
  <c r="C51" i="8"/>
  <c r="B51" i="8"/>
  <c r="A51" i="8"/>
  <c r="F51" i="8" s="1"/>
  <c r="J50" i="8"/>
  <c r="I50" i="8"/>
  <c r="H50" i="8"/>
  <c r="E50" i="8"/>
  <c r="D50" i="8"/>
  <c r="F50" i="8" s="1"/>
  <c r="C50" i="8"/>
  <c r="B50" i="8"/>
  <c r="A50" i="8"/>
  <c r="I49" i="8"/>
  <c r="E49" i="8"/>
  <c r="D49" i="8"/>
  <c r="C49" i="8"/>
  <c r="B49" i="8"/>
  <c r="A49" i="8"/>
  <c r="H49" i="8" s="1"/>
  <c r="J48" i="8"/>
  <c r="I48" i="8"/>
  <c r="H48" i="8"/>
  <c r="F48" i="8"/>
  <c r="E48" i="8"/>
  <c r="D48" i="8"/>
  <c r="C48" i="8"/>
  <c r="B48" i="8"/>
  <c r="A48" i="8"/>
  <c r="I47" i="8"/>
  <c r="E47" i="8"/>
  <c r="D47" i="8"/>
  <c r="C47" i="8"/>
  <c r="B47" i="8"/>
  <c r="A47" i="8"/>
  <c r="I46" i="8"/>
  <c r="E46" i="8"/>
  <c r="H46" i="8" s="1"/>
  <c r="J46" i="8" s="1"/>
  <c r="D46" i="8"/>
  <c r="F46" i="8" s="1"/>
  <c r="C46" i="8"/>
  <c r="B46" i="8"/>
  <c r="A46" i="8"/>
  <c r="I45" i="8"/>
  <c r="E45" i="8"/>
  <c r="D45" i="8"/>
  <c r="C45" i="8"/>
  <c r="B45" i="8"/>
  <c r="A45" i="8"/>
  <c r="I44" i="8"/>
  <c r="E44" i="8"/>
  <c r="D44" i="8"/>
  <c r="C44" i="8"/>
  <c r="B44" i="8"/>
  <c r="A44" i="8"/>
  <c r="I43" i="8"/>
  <c r="E43" i="8"/>
  <c r="H43" i="8" s="1"/>
  <c r="J43" i="8" s="1"/>
  <c r="D43" i="8"/>
  <c r="C43" i="8"/>
  <c r="B43" i="8"/>
  <c r="A43" i="8"/>
  <c r="I42" i="8"/>
  <c r="E42" i="8"/>
  <c r="D42" i="8"/>
  <c r="C42" i="8"/>
  <c r="B42" i="8"/>
  <c r="A42" i="8"/>
  <c r="H42" i="8" s="1"/>
  <c r="I41" i="8"/>
  <c r="E41" i="8"/>
  <c r="H41" i="8" s="1"/>
  <c r="J41" i="8" s="1"/>
  <c r="D41" i="8"/>
  <c r="C41" i="8"/>
  <c r="B41" i="8"/>
  <c r="A41" i="8"/>
  <c r="I40" i="8"/>
  <c r="E40" i="8"/>
  <c r="D40" i="8"/>
  <c r="C40" i="8"/>
  <c r="B40" i="8"/>
  <c r="A40" i="8"/>
  <c r="I39" i="8"/>
  <c r="H39" i="8"/>
  <c r="J39" i="8" s="1"/>
  <c r="E39" i="8"/>
  <c r="D39" i="8"/>
  <c r="F39" i="8" s="1"/>
  <c r="C39" i="8"/>
  <c r="B39" i="8"/>
  <c r="A39" i="8"/>
  <c r="I38" i="8"/>
  <c r="H38" i="8"/>
  <c r="E38" i="8"/>
  <c r="D38" i="8"/>
  <c r="C38" i="8"/>
  <c r="B38" i="8"/>
  <c r="A38" i="8"/>
  <c r="J38" i="8" s="1"/>
  <c r="I37" i="8"/>
  <c r="E37" i="8"/>
  <c r="H37" i="8" s="1"/>
  <c r="J37" i="8" s="1"/>
  <c r="D37" i="8"/>
  <c r="C37" i="8"/>
  <c r="B37" i="8"/>
  <c r="A37" i="8"/>
  <c r="I36" i="8"/>
  <c r="E36" i="8"/>
  <c r="H36" i="8" s="1"/>
  <c r="J36" i="8" s="1"/>
  <c r="D36" i="8"/>
  <c r="F36" i="8" s="1"/>
  <c r="C36" i="8"/>
  <c r="B36" i="8"/>
  <c r="A36" i="8"/>
  <c r="I35" i="8"/>
  <c r="E35" i="8"/>
  <c r="D35" i="8"/>
  <c r="C35" i="8"/>
  <c r="B35" i="8"/>
  <c r="A35" i="8"/>
  <c r="F35" i="8" s="1"/>
  <c r="I34" i="8"/>
  <c r="H34" i="8"/>
  <c r="J34" i="8" s="1"/>
  <c r="E34" i="8"/>
  <c r="D34" i="8"/>
  <c r="F34" i="8" s="1"/>
  <c r="C34" i="8"/>
  <c r="B34" i="8"/>
  <c r="A34" i="8"/>
  <c r="I33" i="8"/>
  <c r="E33" i="8"/>
  <c r="D33" i="8"/>
  <c r="C33" i="8"/>
  <c r="B33" i="8"/>
  <c r="A33" i="8"/>
  <c r="H33" i="8" s="1"/>
  <c r="J32" i="8"/>
  <c r="I32" i="8"/>
  <c r="H32" i="8"/>
  <c r="F32" i="8"/>
  <c r="E32" i="8"/>
  <c r="D32" i="8"/>
  <c r="C32" i="8"/>
  <c r="B32" i="8"/>
  <c r="A32" i="8"/>
  <c r="I31" i="8"/>
  <c r="E31" i="8"/>
  <c r="D31" i="8"/>
  <c r="C31" i="8"/>
  <c r="B31" i="8"/>
  <c r="A31" i="8"/>
  <c r="I30" i="8"/>
  <c r="E30" i="8"/>
  <c r="H30" i="8" s="1"/>
  <c r="J30" i="8" s="1"/>
  <c r="D30" i="8"/>
  <c r="F30" i="8" s="1"/>
  <c r="C30" i="8"/>
  <c r="B30" i="8"/>
  <c r="A30" i="8"/>
  <c r="I29" i="8"/>
  <c r="E29" i="8"/>
  <c r="D29" i="8"/>
  <c r="C29" i="8"/>
  <c r="B29" i="8"/>
  <c r="A29" i="8"/>
  <c r="I28" i="8"/>
  <c r="E28" i="8"/>
  <c r="D28" i="8"/>
  <c r="C28" i="8"/>
  <c r="B28" i="8"/>
  <c r="A28" i="8"/>
  <c r="I27" i="8"/>
  <c r="E27" i="8"/>
  <c r="H27" i="8" s="1"/>
  <c r="J27" i="8" s="1"/>
  <c r="D27" i="8"/>
  <c r="C27" i="8"/>
  <c r="B27" i="8"/>
  <c r="A27" i="8"/>
  <c r="I26" i="8"/>
  <c r="E26" i="8"/>
  <c r="D26" i="8"/>
  <c r="C26" i="8"/>
  <c r="B26" i="8"/>
  <c r="A26" i="8"/>
  <c r="H26" i="8" s="1"/>
  <c r="I25" i="8"/>
  <c r="E25" i="8"/>
  <c r="H25" i="8" s="1"/>
  <c r="J25" i="8" s="1"/>
  <c r="D25" i="8"/>
  <c r="C25" i="8"/>
  <c r="B25" i="8"/>
  <c r="A25" i="8"/>
  <c r="I24" i="8"/>
  <c r="E24" i="8"/>
  <c r="D24" i="8"/>
  <c r="C24" i="8"/>
  <c r="B24" i="8"/>
  <c r="A24" i="8"/>
  <c r="I23" i="8"/>
  <c r="H23" i="8"/>
  <c r="J23" i="8" s="1"/>
  <c r="E23" i="8"/>
  <c r="D23" i="8"/>
  <c r="F23" i="8" s="1"/>
  <c r="C23" i="8"/>
  <c r="B23" i="8"/>
  <c r="A23" i="8"/>
  <c r="I22" i="8"/>
  <c r="H22" i="8"/>
  <c r="E22" i="8"/>
  <c r="D22" i="8"/>
  <c r="C22" i="8"/>
  <c r="B22" i="8"/>
  <c r="A22" i="8"/>
  <c r="J22" i="8" s="1"/>
  <c r="I21" i="8"/>
  <c r="E21" i="8"/>
  <c r="H21" i="8" s="1"/>
  <c r="J21" i="8" s="1"/>
  <c r="D21" i="8"/>
  <c r="C21" i="8"/>
  <c r="B21" i="8"/>
  <c r="A21" i="8"/>
  <c r="I20" i="8"/>
  <c r="E20" i="8"/>
  <c r="H20" i="8" s="1"/>
  <c r="J20" i="8" s="1"/>
  <c r="D20" i="8"/>
  <c r="F20" i="8" s="1"/>
  <c r="C20" i="8"/>
  <c r="B20" i="8"/>
  <c r="A20" i="8"/>
  <c r="I19" i="8"/>
  <c r="E19" i="8"/>
  <c r="D19" i="8"/>
  <c r="C19" i="8"/>
  <c r="B19" i="8"/>
  <c r="A19" i="8"/>
  <c r="F19" i="8" s="1"/>
  <c r="I18" i="8"/>
  <c r="H18" i="8"/>
  <c r="J18" i="8" s="1"/>
  <c r="E18" i="8"/>
  <c r="D18" i="8"/>
  <c r="F18" i="8" s="1"/>
  <c r="C18" i="8"/>
  <c r="B18" i="8"/>
  <c r="A18" i="8"/>
  <c r="I17" i="8"/>
  <c r="E17" i="8"/>
  <c r="D17" i="8"/>
  <c r="C17" i="8"/>
  <c r="B17" i="8"/>
  <c r="A17" i="8"/>
  <c r="H17" i="8" s="1"/>
  <c r="J16" i="8"/>
  <c r="I16" i="8"/>
  <c r="H16" i="8"/>
  <c r="F16" i="8"/>
  <c r="E16" i="8"/>
  <c r="D16" i="8"/>
  <c r="C16" i="8"/>
  <c r="B16" i="8"/>
  <c r="A16" i="8"/>
  <c r="I15" i="8"/>
  <c r="E15" i="8"/>
  <c r="D15" i="8"/>
  <c r="C15" i="8"/>
  <c r="B15" i="8"/>
  <c r="A15" i="8"/>
  <c r="I14" i="8"/>
  <c r="E14" i="8"/>
  <c r="H14" i="8" s="1"/>
  <c r="J14" i="8" s="1"/>
  <c r="D14" i="8"/>
  <c r="F14" i="8" s="1"/>
  <c r="C14" i="8"/>
  <c r="B14" i="8"/>
  <c r="A14" i="8"/>
  <c r="I13" i="8"/>
  <c r="E13" i="8"/>
  <c r="D13" i="8"/>
  <c r="C13" i="8"/>
  <c r="B13" i="8"/>
  <c r="A13" i="8"/>
  <c r="I12" i="8"/>
  <c r="E12" i="8"/>
  <c r="D12" i="8"/>
  <c r="C12" i="8"/>
  <c r="B12" i="8"/>
  <c r="A12" i="8"/>
  <c r="I11" i="8"/>
  <c r="E11" i="8"/>
  <c r="H11" i="8" s="1"/>
  <c r="J11" i="8" s="1"/>
  <c r="D11" i="8"/>
  <c r="C11" i="8"/>
  <c r="B11" i="8"/>
  <c r="A11" i="8"/>
  <c r="I10" i="8"/>
  <c r="E10" i="8"/>
  <c r="D10" i="8"/>
  <c r="C10" i="8"/>
  <c r="B10" i="8"/>
  <c r="A10" i="8"/>
  <c r="H10" i="8" s="1"/>
  <c r="I9" i="8"/>
  <c r="E9" i="8"/>
  <c r="H9" i="8" s="1"/>
  <c r="J9" i="8" s="1"/>
  <c r="D9" i="8"/>
  <c r="C9" i="8"/>
  <c r="B9" i="8"/>
  <c r="A9" i="8"/>
  <c r="I8" i="8"/>
  <c r="E8" i="8"/>
  <c r="D8" i="8"/>
  <c r="C8" i="8"/>
  <c r="B8" i="8"/>
  <c r="A8" i="8"/>
  <c r="I7" i="8"/>
  <c r="H7" i="8"/>
  <c r="J7" i="8" s="1"/>
  <c r="E7" i="8"/>
  <c r="D7" i="8"/>
  <c r="F7" i="8" s="1"/>
  <c r="C7" i="8"/>
  <c r="B7" i="8"/>
  <c r="A7" i="8"/>
  <c r="I6" i="8"/>
  <c r="H6" i="8"/>
  <c r="E6" i="8"/>
  <c r="D6" i="8"/>
  <c r="C6" i="8"/>
  <c r="B6" i="8"/>
  <c r="A6" i="8"/>
  <c r="J6" i="8" s="1"/>
  <c r="I5" i="8"/>
  <c r="E5" i="8"/>
  <c r="H5" i="8" s="1"/>
  <c r="J5" i="8" s="1"/>
  <c r="D5" i="8"/>
  <c r="C5" i="8"/>
  <c r="B5" i="8"/>
  <c r="A5" i="8"/>
  <c r="J104" i="7"/>
  <c r="H104" i="7"/>
  <c r="G104" i="7"/>
  <c r="F104" i="7"/>
  <c r="E104" i="7"/>
  <c r="D104" i="7"/>
  <c r="C104" i="7"/>
  <c r="B104" i="7"/>
  <c r="A104" i="7"/>
  <c r="J103" i="7"/>
  <c r="H103" i="7"/>
  <c r="G103" i="7"/>
  <c r="F103" i="7"/>
  <c r="E103" i="7"/>
  <c r="D103" i="7"/>
  <c r="C103" i="7"/>
  <c r="B103" i="7"/>
  <c r="A103" i="7"/>
  <c r="J102" i="7"/>
  <c r="H102" i="7"/>
  <c r="G102" i="7"/>
  <c r="F102" i="7"/>
  <c r="E102" i="7"/>
  <c r="D102" i="7"/>
  <c r="C102" i="7"/>
  <c r="B102" i="7"/>
  <c r="A102" i="7"/>
  <c r="J101" i="7"/>
  <c r="H101" i="7"/>
  <c r="G101" i="7"/>
  <c r="F101" i="7"/>
  <c r="E101" i="7"/>
  <c r="D101" i="7"/>
  <c r="C101" i="7"/>
  <c r="B101" i="7"/>
  <c r="A101" i="7"/>
  <c r="J100" i="7"/>
  <c r="H100" i="7"/>
  <c r="G100" i="7"/>
  <c r="F100" i="7"/>
  <c r="E100" i="7"/>
  <c r="D100" i="7"/>
  <c r="C100" i="7"/>
  <c r="B100" i="7"/>
  <c r="A100" i="7"/>
  <c r="J99" i="7"/>
  <c r="H99" i="7"/>
  <c r="G99" i="7"/>
  <c r="F99" i="7"/>
  <c r="E99" i="7"/>
  <c r="D99" i="7"/>
  <c r="C99" i="7"/>
  <c r="B99" i="7"/>
  <c r="A99" i="7"/>
  <c r="J98" i="7"/>
  <c r="H98" i="7"/>
  <c r="G98" i="7"/>
  <c r="F98" i="7"/>
  <c r="E98" i="7"/>
  <c r="D98" i="7"/>
  <c r="C98" i="7"/>
  <c r="B98" i="7"/>
  <c r="A98" i="7"/>
  <c r="J97" i="7"/>
  <c r="H97" i="7"/>
  <c r="G97" i="7"/>
  <c r="F97" i="7"/>
  <c r="E97" i="7"/>
  <c r="D97" i="7"/>
  <c r="C97" i="7"/>
  <c r="B97" i="7"/>
  <c r="A97" i="7"/>
  <c r="J96" i="7"/>
  <c r="H96" i="7"/>
  <c r="G96" i="7"/>
  <c r="F96" i="7"/>
  <c r="E96" i="7"/>
  <c r="D96" i="7"/>
  <c r="C96" i="7"/>
  <c r="B96" i="7"/>
  <c r="A96" i="7"/>
  <c r="J95" i="7"/>
  <c r="H95" i="7"/>
  <c r="G95" i="7"/>
  <c r="F95" i="7"/>
  <c r="E95" i="7"/>
  <c r="D95" i="7"/>
  <c r="C95" i="7"/>
  <c r="B95" i="7"/>
  <c r="A95" i="7"/>
  <c r="J94" i="7"/>
  <c r="H94" i="7"/>
  <c r="G94" i="7"/>
  <c r="F94" i="7"/>
  <c r="E94" i="7"/>
  <c r="D94" i="7"/>
  <c r="C94" i="7"/>
  <c r="B94" i="7"/>
  <c r="A94" i="7"/>
  <c r="J93" i="7"/>
  <c r="H93" i="7"/>
  <c r="G93" i="7"/>
  <c r="F93" i="7"/>
  <c r="E93" i="7"/>
  <c r="D93" i="7"/>
  <c r="C93" i="7"/>
  <c r="B93" i="7"/>
  <c r="A93" i="7"/>
  <c r="J92" i="7"/>
  <c r="H92" i="7"/>
  <c r="G92" i="7"/>
  <c r="F92" i="7"/>
  <c r="E92" i="7"/>
  <c r="D92" i="7"/>
  <c r="C92" i="7"/>
  <c r="B92" i="7"/>
  <c r="A92" i="7"/>
  <c r="J91" i="7"/>
  <c r="H91" i="7"/>
  <c r="G91" i="7"/>
  <c r="F91" i="7"/>
  <c r="E91" i="7"/>
  <c r="D91" i="7"/>
  <c r="C91" i="7"/>
  <c r="B91" i="7"/>
  <c r="A91" i="7"/>
  <c r="J90" i="7"/>
  <c r="H90" i="7"/>
  <c r="G90" i="7"/>
  <c r="F90" i="7"/>
  <c r="E90" i="7"/>
  <c r="D90" i="7"/>
  <c r="C90" i="7"/>
  <c r="B90" i="7"/>
  <c r="A90" i="7"/>
  <c r="J89" i="7"/>
  <c r="H89" i="7"/>
  <c r="G89" i="7"/>
  <c r="F89" i="7"/>
  <c r="E89" i="7"/>
  <c r="D89" i="7"/>
  <c r="C89" i="7"/>
  <c r="B89" i="7"/>
  <c r="A89" i="7"/>
  <c r="J88" i="7"/>
  <c r="H88" i="7"/>
  <c r="G88" i="7"/>
  <c r="F88" i="7"/>
  <c r="E88" i="7"/>
  <c r="D88" i="7"/>
  <c r="C88" i="7"/>
  <c r="B88" i="7"/>
  <c r="A88" i="7"/>
  <c r="J87" i="7"/>
  <c r="H87" i="7"/>
  <c r="G87" i="7"/>
  <c r="F87" i="7"/>
  <c r="E87" i="7"/>
  <c r="D87" i="7"/>
  <c r="C87" i="7"/>
  <c r="B87" i="7"/>
  <c r="A87" i="7"/>
  <c r="J86" i="7"/>
  <c r="H86" i="7"/>
  <c r="G86" i="7"/>
  <c r="F86" i="7"/>
  <c r="E86" i="7"/>
  <c r="D86" i="7"/>
  <c r="C86" i="7"/>
  <c r="B86" i="7"/>
  <c r="A86" i="7"/>
  <c r="J85" i="7"/>
  <c r="H85" i="7"/>
  <c r="G85" i="7"/>
  <c r="F85" i="7"/>
  <c r="E85" i="7"/>
  <c r="D85" i="7"/>
  <c r="C85" i="7"/>
  <c r="B85" i="7"/>
  <c r="A85" i="7"/>
  <c r="J84" i="7"/>
  <c r="H84" i="7"/>
  <c r="G84" i="7"/>
  <c r="F84" i="7"/>
  <c r="E84" i="7"/>
  <c r="D84" i="7"/>
  <c r="C84" i="7"/>
  <c r="B84" i="7"/>
  <c r="A84" i="7"/>
  <c r="J83" i="7"/>
  <c r="H83" i="7"/>
  <c r="G83" i="7"/>
  <c r="F83" i="7"/>
  <c r="E83" i="7"/>
  <c r="D83" i="7"/>
  <c r="C83" i="7"/>
  <c r="B83" i="7"/>
  <c r="A83" i="7"/>
  <c r="J82" i="7"/>
  <c r="H82" i="7"/>
  <c r="G82" i="7"/>
  <c r="F82" i="7"/>
  <c r="E82" i="7"/>
  <c r="D82" i="7"/>
  <c r="C82" i="7"/>
  <c r="B82" i="7"/>
  <c r="A82" i="7"/>
  <c r="J81" i="7"/>
  <c r="H81" i="7"/>
  <c r="G81" i="7"/>
  <c r="F81" i="7"/>
  <c r="E81" i="7"/>
  <c r="D81" i="7"/>
  <c r="C81" i="7"/>
  <c r="B81" i="7"/>
  <c r="A81" i="7"/>
  <c r="J80" i="7"/>
  <c r="H80" i="7"/>
  <c r="G80" i="7"/>
  <c r="F80" i="7"/>
  <c r="E80" i="7"/>
  <c r="D80" i="7"/>
  <c r="C80" i="7"/>
  <c r="B80" i="7"/>
  <c r="A80" i="7"/>
  <c r="J79" i="7"/>
  <c r="H79" i="7"/>
  <c r="G79" i="7"/>
  <c r="F79" i="7"/>
  <c r="E79" i="7"/>
  <c r="D79" i="7"/>
  <c r="C79" i="7"/>
  <c r="B79" i="7"/>
  <c r="A79" i="7"/>
  <c r="J78" i="7"/>
  <c r="H78" i="7"/>
  <c r="G78" i="7"/>
  <c r="F78" i="7"/>
  <c r="E78" i="7"/>
  <c r="D78" i="7"/>
  <c r="C78" i="7"/>
  <c r="B78" i="7"/>
  <c r="A78" i="7"/>
  <c r="J77" i="7"/>
  <c r="H77" i="7"/>
  <c r="G77" i="7"/>
  <c r="F77" i="7"/>
  <c r="E77" i="7"/>
  <c r="D77" i="7"/>
  <c r="C77" i="7"/>
  <c r="B77" i="7"/>
  <c r="A77" i="7"/>
  <c r="J76" i="7"/>
  <c r="H76" i="7"/>
  <c r="G76" i="7"/>
  <c r="F76" i="7"/>
  <c r="E76" i="7"/>
  <c r="D76" i="7"/>
  <c r="C76" i="7"/>
  <c r="B76" i="7"/>
  <c r="A76" i="7"/>
  <c r="J75" i="7"/>
  <c r="H75" i="7"/>
  <c r="G75" i="7"/>
  <c r="F75" i="7"/>
  <c r="E75" i="7"/>
  <c r="D75" i="7"/>
  <c r="C75" i="7"/>
  <c r="B75" i="7"/>
  <c r="A75" i="7"/>
  <c r="J74" i="7"/>
  <c r="H74" i="7"/>
  <c r="G74" i="7"/>
  <c r="F74" i="7"/>
  <c r="E74" i="7"/>
  <c r="D74" i="7"/>
  <c r="C74" i="7"/>
  <c r="B74" i="7"/>
  <c r="A74" i="7"/>
  <c r="J73" i="7"/>
  <c r="H73" i="7"/>
  <c r="G73" i="7"/>
  <c r="F73" i="7"/>
  <c r="E73" i="7"/>
  <c r="D73" i="7"/>
  <c r="C73" i="7"/>
  <c r="B73" i="7"/>
  <c r="A73" i="7"/>
  <c r="J72" i="7"/>
  <c r="H72" i="7"/>
  <c r="G72" i="7"/>
  <c r="F72" i="7"/>
  <c r="E72" i="7"/>
  <c r="D72" i="7"/>
  <c r="C72" i="7"/>
  <c r="B72" i="7"/>
  <c r="A72" i="7"/>
  <c r="J71" i="7"/>
  <c r="H71" i="7"/>
  <c r="G71" i="7"/>
  <c r="F71" i="7"/>
  <c r="E71" i="7"/>
  <c r="D71" i="7"/>
  <c r="C71" i="7"/>
  <c r="B71" i="7"/>
  <c r="A71" i="7"/>
  <c r="J70" i="7"/>
  <c r="H70" i="7"/>
  <c r="G70" i="7"/>
  <c r="F70" i="7"/>
  <c r="E70" i="7"/>
  <c r="D70" i="7"/>
  <c r="C70" i="7"/>
  <c r="B70" i="7"/>
  <c r="A70" i="7"/>
  <c r="J69" i="7"/>
  <c r="H69" i="7"/>
  <c r="G69" i="7"/>
  <c r="F69" i="7"/>
  <c r="E69" i="7"/>
  <c r="D69" i="7"/>
  <c r="C69" i="7"/>
  <c r="B69" i="7"/>
  <c r="A69" i="7"/>
  <c r="J68" i="7"/>
  <c r="H68" i="7"/>
  <c r="G68" i="7"/>
  <c r="F68" i="7"/>
  <c r="E68" i="7"/>
  <c r="D68" i="7"/>
  <c r="C68" i="7"/>
  <c r="B68" i="7"/>
  <c r="A68" i="7"/>
  <c r="J67" i="7"/>
  <c r="H67" i="7"/>
  <c r="G67" i="7"/>
  <c r="F67" i="7"/>
  <c r="E67" i="7"/>
  <c r="D67" i="7"/>
  <c r="C67" i="7"/>
  <c r="B67" i="7"/>
  <c r="A67" i="7"/>
  <c r="J66" i="7"/>
  <c r="H66" i="7"/>
  <c r="G66" i="7"/>
  <c r="F66" i="7"/>
  <c r="E66" i="7"/>
  <c r="D66" i="7"/>
  <c r="C66" i="7"/>
  <c r="B66" i="7"/>
  <c r="A66" i="7"/>
  <c r="J65" i="7"/>
  <c r="H65" i="7"/>
  <c r="G65" i="7"/>
  <c r="F65" i="7"/>
  <c r="E65" i="7"/>
  <c r="D65" i="7"/>
  <c r="C65" i="7"/>
  <c r="B65" i="7"/>
  <c r="A65" i="7"/>
  <c r="J64" i="7"/>
  <c r="H64" i="7"/>
  <c r="G64" i="7"/>
  <c r="F64" i="7"/>
  <c r="E64" i="7"/>
  <c r="D64" i="7"/>
  <c r="C64" i="7"/>
  <c r="B64" i="7"/>
  <c r="A64" i="7"/>
  <c r="J63" i="7"/>
  <c r="H63" i="7"/>
  <c r="G63" i="7"/>
  <c r="F63" i="7"/>
  <c r="E63" i="7"/>
  <c r="D63" i="7"/>
  <c r="C63" i="7"/>
  <c r="B63" i="7"/>
  <c r="A63" i="7"/>
  <c r="J62" i="7"/>
  <c r="H62" i="7"/>
  <c r="G62" i="7"/>
  <c r="F62" i="7"/>
  <c r="E62" i="7"/>
  <c r="D62" i="7"/>
  <c r="C62" i="7"/>
  <c r="B62" i="7"/>
  <c r="A62" i="7"/>
  <c r="J61" i="7"/>
  <c r="H61" i="7"/>
  <c r="G61" i="7"/>
  <c r="F61" i="7"/>
  <c r="E61" i="7"/>
  <c r="D61" i="7"/>
  <c r="C61" i="7"/>
  <c r="B61" i="7"/>
  <c r="A61" i="7"/>
  <c r="J60" i="7"/>
  <c r="H60" i="7"/>
  <c r="G60" i="7"/>
  <c r="F60" i="7"/>
  <c r="E60" i="7"/>
  <c r="D60" i="7"/>
  <c r="C60" i="7"/>
  <c r="B60" i="7"/>
  <c r="A60" i="7"/>
  <c r="J59" i="7"/>
  <c r="H59" i="7"/>
  <c r="G59" i="7"/>
  <c r="F59" i="7"/>
  <c r="E59" i="7"/>
  <c r="D59" i="7"/>
  <c r="C59" i="7"/>
  <c r="B59" i="7"/>
  <c r="A59" i="7"/>
  <c r="J58" i="7"/>
  <c r="H58" i="7"/>
  <c r="G58" i="7"/>
  <c r="F58" i="7"/>
  <c r="E58" i="7"/>
  <c r="D58" i="7"/>
  <c r="C58" i="7"/>
  <c r="B58" i="7"/>
  <c r="A58" i="7"/>
  <c r="J57" i="7"/>
  <c r="H57" i="7"/>
  <c r="G57" i="7"/>
  <c r="F57" i="7"/>
  <c r="E57" i="7"/>
  <c r="D57" i="7"/>
  <c r="C57" i="7"/>
  <c r="B57" i="7"/>
  <c r="A57" i="7"/>
  <c r="J56" i="7"/>
  <c r="H56" i="7"/>
  <c r="G56" i="7"/>
  <c r="F56" i="7"/>
  <c r="E56" i="7"/>
  <c r="D56" i="7"/>
  <c r="C56" i="7"/>
  <c r="B56" i="7"/>
  <c r="A56" i="7"/>
  <c r="J55" i="7"/>
  <c r="H55" i="7"/>
  <c r="G55" i="7"/>
  <c r="F55" i="7"/>
  <c r="E55" i="7"/>
  <c r="D55" i="7"/>
  <c r="C55" i="7"/>
  <c r="B55" i="7"/>
  <c r="A55" i="7"/>
  <c r="J54" i="7"/>
  <c r="H54" i="7"/>
  <c r="G54" i="7"/>
  <c r="F54" i="7"/>
  <c r="E54" i="7"/>
  <c r="D54" i="7"/>
  <c r="C54" i="7"/>
  <c r="B54" i="7"/>
  <c r="A54" i="7"/>
  <c r="J53" i="7"/>
  <c r="H53" i="7"/>
  <c r="G53" i="7"/>
  <c r="F53" i="7"/>
  <c r="E53" i="7"/>
  <c r="D53" i="7"/>
  <c r="C53" i="7"/>
  <c r="B53" i="7"/>
  <c r="A53" i="7"/>
  <c r="J52" i="7"/>
  <c r="H52" i="7"/>
  <c r="G52" i="7"/>
  <c r="F52" i="7"/>
  <c r="E52" i="7"/>
  <c r="D52" i="7"/>
  <c r="C52" i="7"/>
  <c r="B52" i="7"/>
  <c r="A52" i="7"/>
  <c r="J51" i="7"/>
  <c r="H51" i="7"/>
  <c r="G51" i="7"/>
  <c r="F51" i="7"/>
  <c r="E51" i="7"/>
  <c r="D51" i="7"/>
  <c r="C51" i="7"/>
  <c r="B51" i="7"/>
  <c r="A51" i="7"/>
  <c r="J50" i="7"/>
  <c r="H50" i="7"/>
  <c r="G50" i="7"/>
  <c r="F50" i="7"/>
  <c r="E50" i="7"/>
  <c r="D50" i="7"/>
  <c r="C50" i="7"/>
  <c r="B50" i="7"/>
  <c r="A50" i="7"/>
  <c r="J49" i="7"/>
  <c r="H49" i="7"/>
  <c r="G49" i="7"/>
  <c r="F49" i="7"/>
  <c r="E49" i="7"/>
  <c r="D49" i="7"/>
  <c r="C49" i="7"/>
  <c r="B49" i="7"/>
  <c r="A49" i="7"/>
  <c r="J48" i="7"/>
  <c r="H48" i="7"/>
  <c r="G48" i="7"/>
  <c r="F48" i="7"/>
  <c r="E48" i="7"/>
  <c r="D48" i="7"/>
  <c r="C48" i="7"/>
  <c r="B48" i="7"/>
  <c r="A48" i="7"/>
  <c r="J47" i="7"/>
  <c r="H47" i="7"/>
  <c r="G47" i="7"/>
  <c r="F47" i="7"/>
  <c r="E47" i="7"/>
  <c r="D47" i="7"/>
  <c r="C47" i="7"/>
  <c r="B47" i="7"/>
  <c r="A47" i="7"/>
  <c r="J46" i="7"/>
  <c r="H46" i="7"/>
  <c r="G46" i="7"/>
  <c r="F46" i="7"/>
  <c r="E46" i="7"/>
  <c r="D46" i="7"/>
  <c r="C46" i="7"/>
  <c r="B46" i="7"/>
  <c r="A46" i="7"/>
  <c r="J45" i="7"/>
  <c r="H45" i="7"/>
  <c r="G45" i="7"/>
  <c r="F45" i="7"/>
  <c r="E45" i="7"/>
  <c r="D45" i="7"/>
  <c r="C45" i="7"/>
  <c r="B45" i="7"/>
  <c r="A45" i="7"/>
  <c r="J44" i="7"/>
  <c r="H44" i="7"/>
  <c r="G44" i="7"/>
  <c r="F44" i="7"/>
  <c r="E44" i="7"/>
  <c r="D44" i="7"/>
  <c r="C44" i="7"/>
  <c r="B44" i="7"/>
  <c r="A44" i="7"/>
  <c r="J43" i="7"/>
  <c r="H43" i="7"/>
  <c r="G43" i="7"/>
  <c r="F43" i="7"/>
  <c r="E43" i="7"/>
  <c r="D43" i="7"/>
  <c r="C43" i="7"/>
  <c r="B43" i="7"/>
  <c r="A43" i="7"/>
  <c r="J42" i="7"/>
  <c r="H42" i="7"/>
  <c r="G42" i="7"/>
  <c r="F42" i="7"/>
  <c r="E42" i="7"/>
  <c r="D42" i="7"/>
  <c r="C42" i="7"/>
  <c r="B42" i="7"/>
  <c r="A42" i="7"/>
  <c r="J41" i="7"/>
  <c r="H41" i="7"/>
  <c r="G41" i="7"/>
  <c r="F41" i="7"/>
  <c r="E41" i="7"/>
  <c r="D41" i="7"/>
  <c r="C41" i="7"/>
  <c r="B41" i="7"/>
  <c r="A41" i="7"/>
  <c r="J40" i="7"/>
  <c r="H40" i="7"/>
  <c r="G40" i="7"/>
  <c r="F40" i="7"/>
  <c r="E40" i="7"/>
  <c r="D40" i="7"/>
  <c r="C40" i="7"/>
  <c r="B40" i="7"/>
  <c r="A40" i="7"/>
  <c r="J39" i="7"/>
  <c r="H39" i="7"/>
  <c r="G39" i="7"/>
  <c r="F39" i="7"/>
  <c r="E39" i="7"/>
  <c r="D39" i="7"/>
  <c r="C39" i="7"/>
  <c r="B39" i="7"/>
  <c r="A39" i="7"/>
  <c r="J38" i="7"/>
  <c r="H38" i="7"/>
  <c r="G38" i="7"/>
  <c r="F38" i="7"/>
  <c r="E38" i="7"/>
  <c r="D38" i="7"/>
  <c r="C38" i="7"/>
  <c r="B38" i="7"/>
  <c r="A38" i="7"/>
  <c r="J37" i="7"/>
  <c r="H37" i="7"/>
  <c r="G37" i="7"/>
  <c r="F37" i="7"/>
  <c r="E37" i="7"/>
  <c r="D37" i="7"/>
  <c r="C37" i="7"/>
  <c r="B37" i="7"/>
  <c r="A37" i="7"/>
  <c r="J36" i="7"/>
  <c r="H36" i="7"/>
  <c r="G36" i="7"/>
  <c r="F36" i="7"/>
  <c r="E36" i="7"/>
  <c r="D36" i="7"/>
  <c r="C36" i="7"/>
  <c r="B36" i="7"/>
  <c r="A36" i="7"/>
  <c r="J35" i="7"/>
  <c r="H35" i="7"/>
  <c r="G35" i="7"/>
  <c r="F35" i="7"/>
  <c r="E35" i="7"/>
  <c r="D35" i="7"/>
  <c r="C35" i="7"/>
  <c r="B35" i="7"/>
  <c r="A35" i="7"/>
  <c r="J34" i="7"/>
  <c r="H34" i="7"/>
  <c r="G34" i="7"/>
  <c r="F34" i="7"/>
  <c r="E34" i="7"/>
  <c r="D34" i="7"/>
  <c r="C34" i="7"/>
  <c r="B34" i="7"/>
  <c r="A34" i="7"/>
  <c r="J33" i="7"/>
  <c r="H33" i="7"/>
  <c r="G33" i="7"/>
  <c r="F33" i="7"/>
  <c r="E33" i="7"/>
  <c r="D33" i="7"/>
  <c r="C33" i="7"/>
  <c r="B33" i="7"/>
  <c r="A33" i="7"/>
  <c r="J32" i="7"/>
  <c r="H32" i="7"/>
  <c r="G32" i="7"/>
  <c r="F32" i="7"/>
  <c r="E32" i="7"/>
  <c r="D32" i="7"/>
  <c r="C32" i="7"/>
  <c r="B32" i="7"/>
  <c r="A32" i="7"/>
  <c r="J31" i="7"/>
  <c r="H31" i="7"/>
  <c r="G31" i="7"/>
  <c r="F31" i="7"/>
  <c r="E31" i="7"/>
  <c r="D31" i="7"/>
  <c r="C31" i="7"/>
  <c r="B31" i="7"/>
  <c r="A31" i="7"/>
  <c r="J30" i="7"/>
  <c r="H30" i="7"/>
  <c r="G30" i="7"/>
  <c r="F30" i="7"/>
  <c r="E30" i="7"/>
  <c r="D30" i="7"/>
  <c r="C30" i="7"/>
  <c r="B30" i="7"/>
  <c r="A30" i="7"/>
  <c r="J29" i="7"/>
  <c r="H29" i="7"/>
  <c r="G29" i="7"/>
  <c r="F29" i="7"/>
  <c r="E29" i="7"/>
  <c r="D29" i="7"/>
  <c r="C29" i="7"/>
  <c r="B29" i="7"/>
  <c r="A29" i="7"/>
  <c r="J28" i="7"/>
  <c r="H28" i="7"/>
  <c r="G28" i="7"/>
  <c r="F28" i="7"/>
  <c r="E28" i="7"/>
  <c r="D28" i="7"/>
  <c r="C28" i="7"/>
  <c r="B28" i="7"/>
  <c r="A28" i="7"/>
  <c r="J27" i="7"/>
  <c r="H27" i="7"/>
  <c r="G27" i="7"/>
  <c r="F27" i="7"/>
  <c r="E27" i="7"/>
  <c r="D27" i="7"/>
  <c r="C27" i="7"/>
  <c r="B27" i="7"/>
  <c r="A27" i="7"/>
  <c r="J26" i="7"/>
  <c r="H26" i="7"/>
  <c r="G26" i="7"/>
  <c r="F26" i="7"/>
  <c r="E26" i="7"/>
  <c r="D26" i="7"/>
  <c r="C26" i="7"/>
  <c r="B26" i="7"/>
  <c r="A26" i="7"/>
  <c r="J25" i="7"/>
  <c r="H25" i="7"/>
  <c r="G25" i="7"/>
  <c r="F25" i="7"/>
  <c r="E25" i="7"/>
  <c r="D25" i="7"/>
  <c r="C25" i="7"/>
  <c r="B25" i="7"/>
  <c r="A25" i="7"/>
  <c r="J24" i="7"/>
  <c r="H24" i="7"/>
  <c r="G24" i="7"/>
  <c r="F24" i="7"/>
  <c r="E24" i="7"/>
  <c r="D24" i="7"/>
  <c r="C24" i="7"/>
  <c r="B24" i="7"/>
  <c r="A24" i="7"/>
  <c r="J23" i="7"/>
  <c r="H23" i="7"/>
  <c r="G23" i="7"/>
  <c r="F23" i="7"/>
  <c r="E23" i="7"/>
  <c r="D23" i="7"/>
  <c r="C23" i="7"/>
  <c r="B23" i="7"/>
  <c r="A23" i="7"/>
  <c r="J22" i="7"/>
  <c r="H22" i="7"/>
  <c r="G22" i="7"/>
  <c r="F22" i="7"/>
  <c r="E22" i="7"/>
  <c r="D22" i="7"/>
  <c r="C22" i="7"/>
  <c r="B22" i="7"/>
  <c r="A22" i="7"/>
  <c r="J21" i="7"/>
  <c r="H21" i="7"/>
  <c r="G21" i="7"/>
  <c r="F21" i="7"/>
  <c r="E21" i="7"/>
  <c r="D21" i="7"/>
  <c r="C21" i="7"/>
  <c r="B21" i="7"/>
  <c r="A21" i="7"/>
  <c r="J20" i="7"/>
  <c r="H20" i="7"/>
  <c r="G20" i="7"/>
  <c r="F20" i="7"/>
  <c r="E20" i="7"/>
  <c r="D20" i="7"/>
  <c r="C20" i="7"/>
  <c r="B20" i="7"/>
  <c r="A20" i="7"/>
  <c r="J19" i="7"/>
  <c r="H19" i="7"/>
  <c r="G19" i="7"/>
  <c r="F19" i="7"/>
  <c r="E19" i="7"/>
  <c r="D19" i="7"/>
  <c r="C19" i="7"/>
  <c r="B19" i="7"/>
  <c r="A19" i="7"/>
  <c r="J18" i="7"/>
  <c r="H18" i="7"/>
  <c r="G18" i="7"/>
  <c r="F18" i="7"/>
  <c r="E18" i="7"/>
  <c r="D18" i="7"/>
  <c r="C18" i="7"/>
  <c r="B18" i="7"/>
  <c r="A18" i="7"/>
  <c r="J17" i="7"/>
  <c r="H17" i="7"/>
  <c r="G17" i="7"/>
  <c r="F17" i="7"/>
  <c r="E17" i="7"/>
  <c r="D17" i="7"/>
  <c r="C17" i="7"/>
  <c r="B17" i="7"/>
  <c r="A17" i="7"/>
  <c r="J16" i="7"/>
  <c r="H16" i="7"/>
  <c r="G16" i="7"/>
  <c r="F16" i="7"/>
  <c r="E16" i="7"/>
  <c r="D16" i="7"/>
  <c r="C16" i="7"/>
  <c r="B16" i="7"/>
  <c r="A16" i="7"/>
  <c r="J15" i="7"/>
  <c r="H15" i="7"/>
  <c r="G15" i="7"/>
  <c r="F15" i="7"/>
  <c r="E15" i="7"/>
  <c r="D15" i="7"/>
  <c r="C15" i="7"/>
  <c r="B15" i="7"/>
  <c r="A15" i="7"/>
  <c r="J14" i="7"/>
  <c r="H14" i="7"/>
  <c r="G14" i="7"/>
  <c r="F14" i="7"/>
  <c r="E14" i="7"/>
  <c r="D14" i="7"/>
  <c r="C14" i="7"/>
  <c r="B14" i="7"/>
  <c r="A14" i="7"/>
  <c r="J13" i="7"/>
  <c r="H13" i="7"/>
  <c r="G13" i="7"/>
  <c r="F13" i="7"/>
  <c r="E13" i="7"/>
  <c r="D13" i="7"/>
  <c r="C13" i="7"/>
  <c r="B13" i="7"/>
  <c r="A13" i="7"/>
  <c r="J12" i="7"/>
  <c r="H12" i="7"/>
  <c r="G12" i="7"/>
  <c r="F12" i="7"/>
  <c r="E12" i="7"/>
  <c r="D12" i="7"/>
  <c r="C12" i="7"/>
  <c r="B12" i="7"/>
  <c r="A12" i="7"/>
  <c r="J11" i="7"/>
  <c r="H11" i="7"/>
  <c r="G11" i="7"/>
  <c r="F11" i="7"/>
  <c r="E11" i="7"/>
  <c r="D11" i="7"/>
  <c r="C11" i="7"/>
  <c r="B11" i="7"/>
  <c r="A11" i="7"/>
  <c r="J10" i="7"/>
  <c r="H10" i="7"/>
  <c r="G10" i="7"/>
  <c r="F10" i="7"/>
  <c r="E10" i="7"/>
  <c r="D10" i="7"/>
  <c r="C10" i="7"/>
  <c r="B10" i="7"/>
  <c r="A10" i="7"/>
  <c r="J9" i="7"/>
  <c r="H9" i="7"/>
  <c r="G9" i="7"/>
  <c r="F9" i="7"/>
  <c r="E9" i="7"/>
  <c r="D9" i="7"/>
  <c r="C9" i="7"/>
  <c r="B9" i="7"/>
  <c r="A9" i="7"/>
  <c r="J8" i="7"/>
  <c r="H8" i="7"/>
  <c r="G8" i="7"/>
  <c r="F8" i="7"/>
  <c r="E8" i="7"/>
  <c r="D8" i="7"/>
  <c r="C8" i="7"/>
  <c r="B8" i="7"/>
  <c r="A8" i="7"/>
  <c r="J7" i="7"/>
  <c r="H7" i="7"/>
  <c r="G7" i="7"/>
  <c r="F7" i="7"/>
  <c r="E7" i="7"/>
  <c r="D7" i="7"/>
  <c r="C7" i="7"/>
  <c r="B7" i="7"/>
  <c r="A7" i="7"/>
  <c r="J6" i="7"/>
  <c r="H6" i="7"/>
  <c r="G6" i="7"/>
  <c r="F6" i="7"/>
  <c r="E6" i="7"/>
  <c r="D6" i="7"/>
  <c r="C6" i="7"/>
  <c r="B6" i="7"/>
  <c r="A6" i="7"/>
  <c r="J5" i="7"/>
  <c r="H5" i="7"/>
  <c r="G5" i="7"/>
  <c r="F5" i="7"/>
  <c r="E5" i="7"/>
  <c r="D5" i="7"/>
  <c r="C5" i="7"/>
  <c r="B5" i="7"/>
  <c r="A5" i="7"/>
  <c r="E10" i="6"/>
  <c r="D20" i="1" s="1"/>
  <c r="D10" i="6"/>
  <c r="C20" i="1" s="1"/>
  <c r="C10" i="6"/>
  <c r="B20" i="1" s="1"/>
  <c r="E9" i="6"/>
  <c r="D19" i="1" s="1"/>
  <c r="D9" i="6"/>
  <c r="C19" i="1" s="1"/>
  <c r="C9" i="6"/>
  <c r="B19" i="1" s="1"/>
  <c r="E8" i="6"/>
  <c r="D18" i="1" s="1"/>
  <c r="D8" i="6"/>
  <c r="C8" i="6"/>
  <c r="B18" i="1" s="1"/>
  <c r="E7" i="6"/>
  <c r="D17" i="1" s="1"/>
  <c r="D7" i="6"/>
  <c r="C17" i="1" s="1"/>
  <c r="C7" i="6"/>
  <c r="B17" i="1" s="1"/>
  <c r="E6" i="6"/>
  <c r="D6" i="6"/>
  <c r="C16" i="1" s="1"/>
  <c r="C6" i="6"/>
  <c r="B16" i="1" s="1"/>
  <c r="E5" i="6"/>
  <c r="D15" i="1" s="1"/>
  <c r="D5" i="6"/>
  <c r="C15" i="1" s="1"/>
  <c r="C5" i="6"/>
  <c r="B15" i="1" s="1"/>
  <c r="H20" i="1"/>
  <c r="G20" i="1"/>
  <c r="F20" i="1"/>
  <c r="E20" i="1"/>
  <c r="A20" i="1"/>
  <c r="H19" i="1"/>
  <c r="G19" i="1"/>
  <c r="F19" i="1"/>
  <c r="E19" i="1"/>
  <c r="A19" i="1"/>
  <c r="H18" i="1"/>
  <c r="G18" i="1"/>
  <c r="F18" i="1"/>
  <c r="E18" i="1"/>
  <c r="C18" i="1"/>
  <c r="A18" i="1"/>
  <c r="H17" i="1"/>
  <c r="G17" i="1"/>
  <c r="F17" i="1"/>
  <c r="E17" i="1"/>
  <c r="A17" i="1"/>
  <c r="H16" i="1"/>
  <c r="G16" i="1"/>
  <c r="F16" i="1"/>
  <c r="E16" i="1"/>
  <c r="D16" i="1"/>
  <c r="A16" i="1"/>
  <c r="H15" i="1"/>
  <c r="G15" i="1"/>
  <c r="F15" i="1"/>
  <c r="E15" i="1"/>
  <c r="A15" i="1"/>
  <c r="B10" i="1"/>
  <c r="B8" i="1"/>
  <c r="B7" i="1"/>
  <c r="B6" i="1"/>
  <c r="B5" i="1"/>
  <c r="J8" i="8" l="1"/>
  <c r="J31" i="8"/>
  <c r="J93" i="8"/>
  <c r="J88" i="8"/>
  <c r="J47" i="8"/>
  <c r="J79" i="8"/>
  <c r="J104" i="8"/>
  <c r="J77" i="8"/>
  <c r="J29" i="8"/>
  <c r="J40" i="8"/>
  <c r="F12" i="8"/>
  <c r="J17" i="8"/>
  <c r="H19" i="8"/>
  <c r="J19" i="8" s="1"/>
  <c r="F28" i="8"/>
  <c r="J33" i="8"/>
  <c r="H35" i="8"/>
  <c r="J35" i="8" s="1"/>
  <c r="F44" i="8"/>
  <c r="J49" i="8"/>
  <c r="H51" i="8"/>
  <c r="J51" i="8" s="1"/>
  <c r="F60" i="8"/>
  <c r="J65" i="8"/>
  <c r="H67" i="8"/>
  <c r="J67" i="8" s="1"/>
  <c r="F76" i="8"/>
  <c r="J81" i="8"/>
  <c r="H83" i="8"/>
  <c r="J83" i="8" s="1"/>
  <c r="F92" i="8"/>
  <c r="J97" i="8"/>
  <c r="H99" i="8"/>
  <c r="J99" i="8" s="1"/>
  <c r="F5" i="8"/>
  <c r="B9" i="1" s="1"/>
  <c r="J10" i="8"/>
  <c r="H12" i="8"/>
  <c r="J12" i="8" s="1"/>
  <c r="F21" i="8"/>
  <c r="J26" i="8"/>
  <c r="H28" i="8"/>
  <c r="J28" i="8" s="1"/>
  <c r="F37" i="8"/>
  <c r="J42" i="8"/>
  <c r="H44" i="8"/>
  <c r="J44" i="8" s="1"/>
  <c r="F53" i="8"/>
  <c r="J58" i="8"/>
  <c r="H60" i="8"/>
  <c r="J60" i="8" s="1"/>
  <c r="F69" i="8"/>
  <c r="J74" i="8"/>
  <c r="H76" i="8"/>
  <c r="J76" i="8" s="1"/>
  <c r="F85" i="8"/>
  <c r="J90" i="8"/>
  <c r="H92" i="8"/>
  <c r="J92" i="8" s="1"/>
  <c r="F101" i="8"/>
  <c r="F9" i="8"/>
  <c r="F25" i="8"/>
  <c r="F41" i="8"/>
  <c r="F57" i="8"/>
  <c r="F73" i="8"/>
  <c r="F89" i="8"/>
  <c r="F11" i="8"/>
  <c r="F27" i="8"/>
  <c r="F43" i="8"/>
  <c r="F59" i="8"/>
  <c r="F75" i="8"/>
  <c r="F100" i="8"/>
  <c r="F13" i="8"/>
  <c r="F29" i="8"/>
  <c r="F45" i="8"/>
  <c r="F61" i="8"/>
  <c r="F77" i="8"/>
  <c r="F93" i="8"/>
  <c r="F6" i="8"/>
  <c r="H13" i="8"/>
  <c r="J13" i="8" s="1"/>
  <c r="F22" i="8"/>
  <c r="H29" i="8"/>
  <c r="F38" i="8"/>
  <c r="H45" i="8"/>
  <c r="J45" i="8" s="1"/>
  <c r="F54" i="8"/>
  <c r="H61" i="8"/>
  <c r="J61" i="8" s="1"/>
  <c r="F70" i="8"/>
  <c r="H77" i="8"/>
  <c r="H93" i="8"/>
  <c r="F102" i="8"/>
  <c r="F15" i="8"/>
  <c r="F31" i="8"/>
  <c r="F47" i="8"/>
  <c r="F63" i="8"/>
  <c r="F79" i="8"/>
  <c r="F95" i="8"/>
  <c r="H102" i="8"/>
  <c r="J102" i="8" s="1"/>
  <c r="F8" i="8"/>
  <c r="H15" i="8"/>
  <c r="J15" i="8" s="1"/>
  <c r="F24" i="8"/>
  <c r="H31" i="8"/>
  <c r="F40" i="8"/>
  <c r="H47" i="8"/>
  <c r="F56" i="8"/>
  <c r="H63" i="8"/>
  <c r="J63" i="8" s="1"/>
  <c r="F72" i="8"/>
  <c r="H79" i="8"/>
  <c r="F88" i="8"/>
  <c r="H95" i="8"/>
  <c r="J95" i="8" s="1"/>
  <c r="F104" i="8"/>
  <c r="H8" i="8"/>
  <c r="F17" i="8"/>
  <c r="H24" i="8"/>
  <c r="J24" i="8" s="1"/>
  <c r="F33" i="8"/>
  <c r="H40" i="8"/>
  <c r="F49" i="8"/>
  <c r="H56" i="8"/>
  <c r="J56" i="8" s="1"/>
  <c r="F65" i="8"/>
  <c r="H72" i="8"/>
  <c r="J72" i="8" s="1"/>
  <c r="F81" i="8"/>
  <c r="H88" i="8"/>
  <c r="F97" i="8"/>
  <c r="H104" i="8"/>
  <c r="F10" i="8"/>
  <c r="F26" i="8"/>
  <c r="F42" i="8"/>
  <c r="F58" i="8"/>
  <c r="F74" i="8"/>
  <c r="F90" i="8"/>
</calcChain>
</file>

<file path=xl/sharedStrings.xml><?xml version="1.0" encoding="utf-8"?>
<sst xmlns="http://schemas.openxmlformats.org/spreadsheetml/2006/main" count="424" uniqueCount="203">
  <si>
    <t>AutoCAD-BlockBox Documentation</t>
  </si>
  <si>
    <t>Professional catalog, release tracker, and documentation index for the BlockBox block library.</t>
  </si>
  <si>
    <t>Metric</t>
  </si>
  <si>
    <t>Value</t>
  </si>
  <si>
    <t>Notes</t>
  </si>
  <si>
    <t>BlockBox Standards Snapshot</t>
  </si>
  <si>
    <t>Total Blocks</t>
  </si>
  <si>
    <t>All cataloged blocks</t>
  </si>
  <si>
    <t>Development Folder</t>
  </si>
  <si>
    <t>BLOCKS-Dev</t>
  </si>
  <si>
    <t>Dynamic Blocks</t>
  </si>
  <si>
    <t>Dynamic block definitions</t>
  </si>
  <si>
    <t>Production Folder</t>
  </si>
  <si>
    <t>BLOCKS-Release</t>
  </si>
  <si>
    <t>Static Blocks</t>
  </si>
  <si>
    <t>Flat/sharing-safe blocks</t>
  </si>
  <si>
    <t>Versioning</t>
  </si>
  <si>
    <t>Semantic Versioning</t>
  </si>
  <si>
    <t>Production Blocks</t>
  </si>
  <si>
    <t>Approved release blocks</t>
  </si>
  <si>
    <t>Dynamic Prefix</t>
  </si>
  <si>
    <t>D_</t>
  </si>
  <si>
    <t>Publish Needed</t>
  </si>
  <si>
    <t>Dev version differs from release</t>
  </si>
  <si>
    <t>Static Prefix</t>
  </si>
  <si>
    <t>S_</t>
  </si>
  <si>
    <t>Latest Release Date</t>
  </si>
  <si>
    <t>Most recent changelog date</t>
  </si>
  <si>
    <t>Tag Format</t>
  </si>
  <si>
    <t>&lt;BlockName&gt;-v&lt;Version&gt;</t>
  </si>
  <si>
    <t>Category Summary</t>
  </si>
  <si>
    <t>Recent Releases</t>
  </si>
  <si>
    <t>Category</t>
  </si>
  <si>
    <t>Dynamic</t>
  </si>
  <si>
    <t>Static</t>
  </si>
  <si>
    <t>Production</t>
  </si>
  <si>
    <t>Date</t>
  </si>
  <si>
    <t>Block</t>
  </si>
  <si>
    <t>Version</t>
  </si>
  <si>
    <t>Summary</t>
  </si>
  <si>
    <t>BlockBox Master Catalog</t>
  </si>
  <si>
    <t>Single source of truth for dynamic and static AutoCAD blocks.</t>
  </si>
  <si>
    <t>Block Name</t>
  </si>
  <si>
    <t>Type</t>
  </si>
  <si>
    <t>Status</t>
  </si>
  <si>
    <t>Current Version</t>
  </si>
  <si>
    <t>Dev Version</t>
  </si>
  <si>
    <t>Last Release</t>
  </si>
  <si>
    <t>Author</t>
  </si>
  <si>
    <t>Preview Image</t>
  </si>
  <si>
    <t>DWG Path</t>
  </si>
  <si>
    <t>Package JSON</t>
  </si>
  <si>
    <t>Changelog</t>
  </si>
  <si>
    <t>Git Tag</t>
  </si>
  <si>
    <t>D_UTILITIES_MANHOLE</t>
  </si>
  <si>
    <t>Utilities</t>
  </si>
  <si>
    <t>2.1.0</t>
  </si>
  <si>
    <t>Jason Hagen</t>
  </si>
  <si>
    <t>preview.png</t>
  </si>
  <si>
    <t>BLOCKS-Release/Dynamic/Utilities/D_UTILITIES_MANHOLE/D_UTILITIES_MANHOLE.dwg</t>
  </si>
  <si>
    <t>package-definitions/D_UTILITIES_MANHOLE.json</t>
  </si>
  <si>
    <t>changelogs/D_UTILITIES_MANHOLE.md</t>
  </si>
  <si>
    <t>D_UTILITIES_MANHOLE-v2.1.0</t>
  </si>
  <si>
    <t>Standard utility manhole block.</t>
  </si>
  <si>
    <t>D_UTILITIES_PEDESTAL</t>
  </si>
  <si>
    <t>Development</t>
  </si>
  <si>
    <t>1.0.0</t>
  </si>
  <si>
    <t>1.1.0</t>
  </si>
  <si>
    <t>BLOCKS-Dev/Dynamic/Utilities/D_UTILITIES_PEDESTAL/D_UTILITIES_PEDESTAL.dwg</t>
  </si>
  <si>
    <t>package-definitions/D_UTILITIES_PEDESTAL.json</t>
  </si>
  <si>
    <t>changelogs/D_UTILITIES_PEDESTAL.md</t>
  </si>
  <si>
    <t>D_UTILITIES_PEDESTAL-v1.0.0</t>
  </si>
  <si>
    <t>Pedestal block with lookup/visibility states.</t>
  </si>
  <si>
    <t>S_UTILITIES_MANHOLE</t>
  </si>
  <si>
    <t>BLOCKS-Release/Static/Utilities/S_UTILITIES_MANHOLE/S_UTILITIES_MANHOLE.dwg</t>
  </si>
  <si>
    <t>package-definitions/S_UTILITIES_MANHOLE.json</t>
  </si>
  <si>
    <t>changelogs/S_UTILITIES_MANHOLE.md</t>
  </si>
  <si>
    <t>S_UTILITIES_MANHOLE-v1.0.0</t>
  </si>
  <si>
    <t>Flat/static sharing-safe manhole block.</t>
  </si>
  <si>
    <t>D_UTILITIES_VALVE</t>
  </si>
  <si>
    <t>Testing</t>
  </si>
  <si>
    <t>0.9.0</t>
  </si>
  <si>
    <t>BLOCKS-Dev/Dynamic/Utilities/D_UTILITIES_VALVE/D_UTILITIES_VALVE.dwg</t>
  </si>
  <si>
    <t>package-definitions/D_UTILITIES_VALVE.json</t>
  </si>
  <si>
    <t>changelogs/D_UTILITIES_VALVE.md</t>
  </si>
  <si>
    <t>Testing before first production release.</t>
  </si>
  <si>
    <t>Visibility States</t>
  </si>
  <si>
    <t>Track each dynamic block visibility state and release impact.</t>
  </si>
  <si>
    <t>Visibility State</t>
  </si>
  <si>
    <t>Description</t>
  </si>
  <si>
    <t>Added Version</t>
  </si>
  <si>
    <t>Last Updated</t>
  </si>
  <si>
    <t>QA Checked</t>
  </si>
  <si>
    <t>24x36</t>
  </si>
  <si>
    <t>Standard rectangular manhole option.</t>
  </si>
  <si>
    <t>2.0.0</t>
  </si>
  <si>
    <t>Yes</t>
  </si>
  <si>
    <t>24x42</t>
  </si>
  <si>
    <t>Large rectangular manhole option.</t>
  </si>
  <si>
    <t>8x8</t>
  </si>
  <si>
    <t>Small rectangular pedestal.</t>
  </si>
  <si>
    <t>No</t>
  </si>
  <si>
    <t>12x24</t>
  </si>
  <si>
    <t>Wide rectangular pedestal.</t>
  </si>
  <si>
    <t>Cat House</t>
  </si>
  <si>
    <t>Cat house pedestal shape.</t>
  </si>
  <si>
    <t>Dog House</t>
  </si>
  <si>
    <t>Dog house pedestal shape.</t>
  </si>
  <si>
    <t>Block Attributes</t>
  </si>
  <si>
    <t>Catalog attribute tags, defaults, requirements, and notes.</t>
  </si>
  <si>
    <t>Attribute Tag</t>
  </si>
  <si>
    <t>Prompt</t>
  </si>
  <si>
    <t>Default Value</t>
  </si>
  <si>
    <t>Required</t>
  </si>
  <si>
    <t>Visible</t>
  </si>
  <si>
    <t>Locked</t>
  </si>
  <si>
    <t>SIZE</t>
  </si>
  <si>
    <t>Structure Size</t>
  </si>
  <si>
    <t>OWNER</t>
  </si>
  <si>
    <t>Utility Owner</t>
  </si>
  <si>
    <t>Optional label.</t>
  </si>
  <si>
    <t>Pedestal Size</t>
  </si>
  <si>
    <t>TYPE</t>
  </si>
  <si>
    <t>Pedestal Type</t>
  </si>
  <si>
    <t>BlockBox Changelog Index</t>
  </si>
  <si>
    <t>Workbook-level release log. Each block still keeps its own changelog markdown file.</t>
  </si>
  <si>
    <t>Release Type</t>
  </si>
  <si>
    <t>Area</t>
  </si>
  <si>
    <t>Change Summary</t>
  </si>
  <si>
    <t>Updated By</t>
  </si>
  <si>
    <t>MINOR</t>
  </si>
  <si>
    <t>Visibility</t>
  </si>
  <si>
    <t>Added 24x42 visibility state.</t>
  </si>
  <si>
    <t>MAJOR</t>
  </si>
  <si>
    <t>Static Export</t>
  </si>
  <si>
    <t>Initial static sharing-safe block.</t>
  </si>
  <si>
    <t>Block Categories</t>
  </si>
  <si>
    <t>Standard categories used by BlockBox.</t>
  </si>
  <si>
    <t>Dynamic Count</t>
  </si>
  <si>
    <t>Static Count</t>
  </si>
  <si>
    <t>Production Count</t>
  </si>
  <si>
    <t>Utility-related structures, valves, pedestals, vaults, and appurtenances.</t>
  </si>
  <si>
    <t>Traffic</t>
  </si>
  <si>
    <t>Traffic signs, striping, signals, and control devices.</t>
  </si>
  <si>
    <t>Survey</t>
  </si>
  <si>
    <t>Survey control, monuments, and point marker blocks.</t>
  </si>
  <si>
    <t>Restoration</t>
  </si>
  <si>
    <t>Restoration area and repair blocks.</t>
  </si>
  <si>
    <t>Construction</t>
  </si>
  <si>
    <t>Construction phase and detail blocks.</t>
  </si>
  <si>
    <t>Details</t>
  </si>
  <si>
    <t>Standard details and sheet detail blocks.</t>
  </si>
  <si>
    <t>Canva Catalog Export</t>
  </si>
  <si>
    <t>Use this sheet later for Canva Bulk Create or PDF catalog generation.</t>
  </si>
  <si>
    <t>Short Description</t>
  </si>
  <si>
    <t>Release Date</t>
  </si>
  <si>
    <t>Tagline</t>
  </si>
  <si>
    <t>Production-ready AutoCAD block.</t>
  </si>
  <si>
    <t>Dynamic block under development.</t>
  </si>
  <si>
    <t>Static sharing-safe block.</t>
  </si>
  <si>
    <t>Testing before release.</t>
  </si>
  <si>
    <t>Release Tracker</t>
  </si>
  <si>
    <t>Compare development and release versions to see what needs publishing.</t>
  </si>
  <si>
    <t>Current Release Version</t>
  </si>
  <si>
    <t>Next Release Type</t>
  </si>
  <si>
    <t>Next Version</t>
  </si>
  <si>
    <t>Package ZIP</t>
  </si>
  <si>
    <t>PATCH</t>
  </si>
  <si>
    <t>BlockBox Setup Lists</t>
  </si>
  <si>
    <t>Dropdown values and system lists used by the workbook.</t>
  </si>
  <si>
    <t>Block Types</t>
  </si>
  <si>
    <t>Statuses</t>
  </si>
  <si>
    <t>Categories</t>
  </si>
  <si>
    <t>Yes/No</t>
  </si>
  <si>
    <t>Release Types</t>
  </si>
  <si>
    <t>Owners</t>
  </si>
  <si>
    <t>Cannon Construction</t>
  </si>
  <si>
    <t>Deprecated</t>
  </si>
  <si>
    <t>Archived</t>
  </si>
  <si>
    <t>Existing Conditions</t>
  </si>
  <si>
    <t>Electrical</t>
  </si>
  <si>
    <t>Communications</t>
  </si>
  <si>
    <t>Water</t>
  </si>
  <si>
    <t>Sewer</t>
  </si>
  <si>
    <t>Gas</t>
  </si>
  <si>
    <t>How to Use This Workbook</t>
  </si>
  <si>
    <t>Starter guide for maintaining AutoCAD-BlockBox documentation.</t>
  </si>
  <si>
    <t>Section</t>
  </si>
  <si>
    <t>Instructions</t>
  </si>
  <si>
    <t>1. Add blocks</t>
  </si>
  <si>
    <t>Add each block to BLOCK_CATALOG. Use D_ for Dynamic and S_ for Static.</t>
  </si>
  <si>
    <t>2. Track visibility</t>
  </si>
  <si>
    <t>For dynamic blocks, add every visibility state to VISIBILITY_STATES.</t>
  </si>
  <si>
    <t>3. Track attributes</t>
  </si>
  <si>
    <t>Add attribute tags, defaults, requirements, and notes in ATTRIBUTES.</t>
  </si>
  <si>
    <t>4. Release changes</t>
  </si>
  <si>
    <t>Log releases in CHANGELOG and update the per-block markdown changelog.</t>
  </si>
  <si>
    <t>5. Check releases</t>
  </si>
  <si>
    <t>Use RELEASE_TRACKER to see which blocks need publishing.</t>
  </si>
  <si>
    <t>6. Export catalog</t>
  </si>
  <si>
    <t>Use CANVA_EXPORT later for Canva Bulk Create, PDF catalogs, or website content.</t>
  </si>
  <si>
    <t>7. Never edit production</t>
  </si>
  <si>
    <t>All development happens in BLOCKS-Dev. BLOCKS-Release is output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</si>
</sst>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20"/>
      <color rgb="FFFFFFFF"/>
      <name val="Carlito"/>
    </font>
    <font>
      <i/>
      <sz val="10"/>
      <color rgb="FF6B7280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22"/>
      <color rgb="FFFFFFFF"/>
      <name val="Carlito"/>
    </font>
    <font>
      <sz val="11"/>
      <color rgb="FF111827"/>
      <name val="Carlito"/>
    </font>
    <font>
      <b/>
      <sz val="11"/>
      <color rgb="FF11182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F6F8FB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164" fontId="6" fillId="5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164" fontId="4" fillId="5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ockCatalogTable" displayName="BlockCatalogTable" ref="A4:N104">
  <tableColumns count="14">
    <tableColumn id="1" xr3:uid="{00000000-0010-0000-0000-000001000000}" name="Block Name"/>
    <tableColumn id="2" xr3:uid="{00000000-0010-0000-0000-000002000000}" name="Category"/>
    <tableColumn id="3" xr3:uid="{00000000-0010-0000-0000-000003000000}" name="Type"/>
    <tableColumn id="4" xr3:uid="{00000000-0010-0000-0000-000004000000}" name="Status"/>
    <tableColumn id="5" xr3:uid="{00000000-0010-0000-0000-000005000000}" name="Current Version"/>
    <tableColumn id="6" xr3:uid="{00000000-0010-0000-0000-000006000000}" name="Dev Version"/>
    <tableColumn id="7" xr3:uid="{00000000-0010-0000-0000-000007000000}" name="Last Release"/>
    <tableColumn id="8" xr3:uid="{00000000-0010-0000-0000-000008000000}" name="Author"/>
    <tableColumn id="9" xr3:uid="{00000000-0010-0000-0000-000009000000}" name="Preview Image"/>
    <tableColumn id="10" xr3:uid="{00000000-0010-0000-0000-00000A000000}" name="DWG Path"/>
    <tableColumn id="11" xr3:uid="{00000000-0010-0000-0000-00000B000000}" name="Package JSON"/>
    <tableColumn id="12" xr3:uid="{00000000-0010-0000-0000-00000C000000}" name="Changelog"/>
    <tableColumn id="13" xr3:uid="{00000000-0010-0000-0000-00000D000000}" name="Git Tag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sibilityStatesTable" displayName="VisibilityStatesTable" ref="A4:H204">
  <tableColumns count="8">
    <tableColumn id="1" xr3:uid="{00000000-0010-0000-0100-000001000000}" name="Block Name"/>
    <tableColumn id="2" xr3:uid="{00000000-0010-0000-0100-000002000000}" name="Visibility State"/>
    <tableColumn id="3" xr3:uid="{00000000-0010-0000-0100-000003000000}" name="Description"/>
    <tableColumn id="4" xr3:uid="{00000000-0010-0000-0100-000004000000}" name="Status"/>
    <tableColumn id="5" xr3:uid="{00000000-0010-0000-0100-000005000000}" name="Added Version"/>
    <tableColumn id="6" xr3:uid="{00000000-0010-0000-0100-000006000000}" name="Last Updated"/>
    <tableColumn id="7" xr3:uid="{00000000-0010-0000-0100-000007000000}" name="QA Checked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ributesTable" displayName="AttributesTable" ref="A4:J204">
  <tableColumns count="10">
    <tableColumn id="1" xr3:uid="{00000000-0010-0000-0200-000001000000}" name="Block Name"/>
    <tableColumn id="2" xr3:uid="{00000000-0010-0000-0200-000002000000}" name="Attribute Tag"/>
    <tableColumn id="3" xr3:uid="{00000000-0010-0000-0200-000003000000}" name="Prompt"/>
    <tableColumn id="4" xr3:uid="{00000000-0010-0000-0200-000004000000}" name="Default Value"/>
    <tableColumn id="5" xr3:uid="{00000000-0010-0000-0200-000005000000}" name="Required"/>
    <tableColumn id="6" xr3:uid="{00000000-0010-0000-0200-000006000000}" name="Visible"/>
    <tableColumn id="7" xr3:uid="{00000000-0010-0000-0200-000007000000}" name="Locked"/>
    <tableColumn id="8" xr3:uid="{00000000-0010-0000-0200-000008000000}" name="Added Version"/>
    <tableColumn id="9" xr3:uid="{00000000-0010-0000-0200-000009000000}" name="Last Updated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gelogTable" displayName="ChangelogTable" ref="A4:I204">
  <tableColumns count="9">
    <tableColumn id="1" xr3:uid="{00000000-0010-0000-0300-000001000000}" name="Date"/>
    <tableColumn id="2" xr3:uid="{00000000-0010-0000-0300-000002000000}" name="Block Name"/>
    <tableColumn id="3" xr3:uid="{00000000-0010-0000-0300-000003000000}" name="Version"/>
    <tableColumn id="4" xr3:uid="{00000000-0010-0000-0300-000004000000}" name="Release Type"/>
    <tableColumn id="5" xr3:uid="{00000000-0010-0000-0300-000005000000}" name="Area"/>
    <tableColumn id="6" xr3:uid="{00000000-0010-0000-0300-000006000000}" name="Change Summary"/>
    <tableColumn id="7" xr3:uid="{00000000-0010-0000-0300-000007000000}" name="Git Tag"/>
    <tableColumn id="8" xr3:uid="{00000000-0010-0000-0300-000008000000}" name="Updated By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iesTable" displayName="CategoriesTable" ref="A4:F50">
  <tableColumns count="6">
    <tableColumn id="1" xr3:uid="{00000000-0010-0000-0400-000001000000}" name="Category"/>
    <tableColumn id="2" xr3:uid="{00000000-0010-0000-0400-000002000000}" name="Description"/>
    <tableColumn id="3" xr3:uid="{00000000-0010-0000-0400-000003000000}" name="Dynamic Count"/>
    <tableColumn id="4" xr3:uid="{00000000-0010-0000-0400-000004000000}" name="Static Count"/>
    <tableColumn id="5" xr3:uid="{00000000-0010-0000-0400-000005000000}" name="Production Count"/>
    <tableColumn id="6" xr3:uid="{00000000-0010-0000-0400-00000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nvaExportTable" displayName="CanvaExportTable" ref="A4:K104">
  <tableColumns count="11">
    <tableColumn id="1" xr3:uid="{00000000-0010-0000-0500-000001000000}" name="Block Name"/>
    <tableColumn id="2" xr3:uid="{00000000-0010-0000-0500-000002000000}" name="Category"/>
    <tableColumn id="3" xr3:uid="{00000000-0010-0000-0500-000003000000}" name="Type"/>
    <tableColumn id="4" xr3:uid="{00000000-0010-0000-0500-000004000000}" name="Version"/>
    <tableColumn id="5" xr3:uid="{00000000-0010-0000-0500-000005000000}" name="Status"/>
    <tableColumn id="6" xr3:uid="{00000000-0010-0000-0500-000006000000}" name="Short Description"/>
    <tableColumn id="7" xr3:uid="{00000000-0010-0000-0500-000007000000}" name="Preview Image"/>
    <tableColumn id="8" xr3:uid="{00000000-0010-0000-0500-000008000000}" name="Release Date"/>
    <tableColumn id="9" xr3:uid="{00000000-0010-0000-0500-000009000000}" name="Tagline"/>
    <tableColumn id="10" xr3:uid="{00000000-0010-0000-0500-00000A000000}" name="DWG Path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leaseTrackerTable" displayName="ReleaseTrackerTable" ref="A4:K104">
  <tableColumns count="11">
    <tableColumn id="1" xr3:uid="{00000000-0010-0000-0600-000001000000}" name="Block Name"/>
    <tableColumn id="2" xr3:uid="{00000000-0010-0000-0600-000002000000}" name="Type"/>
    <tableColumn id="3" xr3:uid="{00000000-0010-0000-0600-000003000000}" name="Status"/>
    <tableColumn id="4" xr3:uid="{00000000-0010-0000-0600-000004000000}" name="Current Release Version"/>
    <tableColumn id="5" xr3:uid="{00000000-0010-0000-0600-000005000000}" name="Dev Version"/>
    <tableColumn id="6" xr3:uid="{00000000-0010-0000-0600-000006000000}" name="Publish Needed"/>
    <tableColumn id="7" xr3:uid="{00000000-0010-0000-0600-000007000000}" name="Next Release Type"/>
    <tableColumn id="8" xr3:uid="{00000000-0010-0000-0600-000008000000}" name="Next Version"/>
    <tableColumn id="9" xr3:uid="{00000000-0010-0000-0600-000009000000}" name="Last Release"/>
    <tableColumn id="10" xr3:uid="{00000000-0010-0000-0600-00000A000000}" name="Package ZIP"/>
    <tableColumn id="11" xr3:uid="{00000000-0010-0000-0600-00000B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4B4060-97E6-4A5F-BE82-2DD626D56225}" name="Table8" displayName="Table8" ref="A4:A6" totalsRowShown="0" headerRowDxfId="15" dataDxfId="16">
  <autoFilter ref="A4:A6" xr:uid="{074B4060-97E6-4A5F-BE82-2DD626D56225}"/>
  <tableColumns count="1">
    <tableColumn id="1" xr3:uid="{3F67CAB7-9CC7-43ED-8EC7-F60A40C18E2E}" name="Block Types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245D58-8323-405C-AC06-171898B1F92C}" name="Table9" displayName="Table9" ref="B4:B9" totalsRowShown="0" headerRowDxfId="12" dataDxfId="13">
  <autoFilter ref="B4:B9" xr:uid="{3D245D58-8323-405C-AC06-171898B1F92C}"/>
  <tableColumns count="1">
    <tableColumn id="1" xr3:uid="{700CD517-8487-4CC1-8D45-81465D28BD82}" name="Statuses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6445EF-557D-46A2-9661-0008D040D001}" name="Table10" displayName="Table10" ref="C4:C16" totalsRowShown="0" headerRowDxfId="9" dataDxfId="10">
  <autoFilter ref="C4:C16" xr:uid="{446445EF-557D-46A2-9661-0008D040D001}"/>
  <tableColumns count="1">
    <tableColumn id="1" xr3:uid="{DF90C3AE-D1B5-4175-9D3C-831452953631}" name="Categories" dataDxfId="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9A499E-DAB5-41FE-A0B8-133C251893FB}" name="Table11" displayName="Table11" ref="D4:D6" totalsRowShown="0" headerRowDxfId="6" dataDxfId="7">
  <autoFilter ref="D4:D6" xr:uid="{089A499E-DAB5-41FE-A0B8-133C251893FB}"/>
  <tableColumns count="1">
    <tableColumn id="1" xr3:uid="{2829913D-B564-41A4-A806-34E7994C8372}" name="Yes/No" dataDxf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40EA35-AB1F-4D61-84D9-25FBD0D89630}" name="Table12" displayName="Table12" ref="E4:E7" totalsRowShown="0" headerRowDxfId="3" dataDxfId="4">
  <autoFilter ref="E4:E7" xr:uid="{DB40EA35-AB1F-4D61-84D9-25FBD0D89630}"/>
  <tableColumns count="1">
    <tableColumn id="1" xr3:uid="{19D9A4E7-121A-469E-9AB0-FDE2B05C7151}" name="Release Types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BC290A-4A53-4270-AA1C-8D18446C054F}" name="Table13" displayName="Table13" ref="F4:F6" totalsRowShown="0" headerRowDxfId="0" dataDxfId="1">
  <autoFilter ref="F4:F6" xr:uid="{EFBC290A-4A53-4270-AA1C-8D18446C054F}"/>
  <tableColumns count="1">
    <tableColumn id="1" xr3:uid="{317010CC-CC5C-4105-8B6C-9C01C637EFC7}" name="Own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"/>
  <sheetViews>
    <sheetView tabSelected="1" zoomScale="85" zoomScaleNormal="85" workbookViewId="0">
      <selection activeCell="J8" sqref="J8"/>
    </sheetView>
  </sheetViews>
  <sheetFormatPr defaultRowHeight="14.25"/>
  <cols>
    <col min="1" max="1" width="24" customWidth="1"/>
    <col min="2" max="2" width="18" customWidth="1"/>
    <col min="3" max="3" width="42" customWidth="1"/>
    <col min="4" max="4" width="4" customWidth="1"/>
    <col min="5" max="5" width="22" customWidth="1"/>
    <col min="6" max="7" width="18" customWidth="1"/>
    <col min="8" max="8" width="22" customWidth="1"/>
  </cols>
  <sheetData>
    <row r="1" spans="1:26" ht="38.1" customHeight="1">
      <c r="A1" s="9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1" t="s">
        <v>1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2</v>
      </c>
      <c r="B4" s="1" t="s">
        <v>3</v>
      </c>
      <c r="C4" s="1" t="s">
        <v>4</v>
      </c>
      <c r="D4" s="2"/>
      <c r="E4" s="12" t="s">
        <v>5</v>
      </c>
      <c r="F4" s="10"/>
      <c r="G4" s="10"/>
      <c r="H4" s="1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3" t="s">
        <v>6</v>
      </c>
      <c r="B5" s="3">
        <f>COUNTA(BLOCK_CATALOG!A5:A104)</f>
        <v>4</v>
      </c>
      <c r="C5" s="3" t="s">
        <v>7</v>
      </c>
      <c r="D5" s="2"/>
      <c r="E5" s="4" t="s">
        <v>8</v>
      </c>
      <c r="F5" s="3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3" t="s">
        <v>10</v>
      </c>
      <c r="B6" s="3">
        <f>COUNTIF(BLOCK_CATALOG!C5:C104,"Dynamic")</f>
        <v>3</v>
      </c>
      <c r="C6" s="3" t="s">
        <v>11</v>
      </c>
      <c r="D6" s="2"/>
      <c r="E6" s="4" t="s">
        <v>12</v>
      </c>
      <c r="F6" s="3" t="s">
        <v>13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3" t="s">
        <v>14</v>
      </c>
      <c r="B7" s="3">
        <f>COUNTIF(BLOCK_CATALOG!C5:C104,"Static")</f>
        <v>1</v>
      </c>
      <c r="C7" s="3" t="s">
        <v>15</v>
      </c>
      <c r="D7" s="2"/>
      <c r="E7" s="4" t="s">
        <v>16</v>
      </c>
      <c r="F7" s="3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3" t="s">
        <v>18</v>
      </c>
      <c r="B8" s="3">
        <f>COUNTIF(BLOCK_CATALOG!D5:D104,"Production")</f>
        <v>2</v>
      </c>
      <c r="C8" s="3" t="s">
        <v>19</v>
      </c>
      <c r="D8" s="2"/>
      <c r="E8" s="4" t="s">
        <v>20</v>
      </c>
      <c r="F8" s="3" t="s">
        <v>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3" t="s">
        <v>22</v>
      </c>
      <c r="B9" s="3">
        <f>COUNTIF(RELEASE_TRACKER!F5:F104,"YES")</f>
        <v>2</v>
      </c>
      <c r="C9" s="3" t="s">
        <v>23</v>
      </c>
      <c r="D9" s="2"/>
      <c r="E9" s="4" t="s">
        <v>24</v>
      </c>
      <c r="F9" s="3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26</v>
      </c>
      <c r="B10" s="5">
        <f>MAX(CHANGELOG!A5:A204)</f>
        <v>46190</v>
      </c>
      <c r="C10" s="3" t="s">
        <v>27</v>
      </c>
      <c r="D10" s="2"/>
      <c r="E10" s="4" t="s">
        <v>28</v>
      </c>
      <c r="F10" s="3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13" t="s">
        <v>30</v>
      </c>
      <c r="B13" s="10"/>
      <c r="C13" s="10"/>
      <c r="D13" s="10"/>
      <c r="E13" s="13" t="s">
        <v>31</v>
      </c>
      <c r="F13" s="10"/>
      <c r="G13" s="10"/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95" customHeight="1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>
      <c r="A15" s="6" t="str">
        <f>CATEGORIES!A5</f>
        <v>Utilities</v>
      </c>
      <c r="B15" s="6">
        <f>CATEGORIES!C5</f>
        <v>3</v>
      </c>
      <c r="C15" s="6">
        <f>CATEGORIES!D5</f>
        <v>1</v>
      </c>
      <c r="D15" s="6">
        <f>CATEGORIES!E5</f>
        <v>2</v>
      </c>
      <c r="E15" s="7">
        <f>CHANGELOG!A5</f>
        <v>46190</v>
      </c>
      <c r="F15" s="8" t="str">
        <f>CHANGELOG!B5</f>
        <v>D_UTILITIES_MANHOLE</v>
      </c>
      <c r="G15" s="8" t="str">
        <f>CHANGELOG!C5</f>
        <v>2.1.0</v>
      </c>
      <c r="H15" s="8" t="str">
        <f>CHANGELOG!F5</f>
        <v>Added 24x42 visibility state.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6" t="str">
        <f>CATEGORIES!A6</f>
        <v>Traffic</v>
      </c>
      <c r="B16" s="6">
        <f>CATEGORIES!C6</f>
        <v>0</v>
      </c>
      <c r="C16" s="6">
        <f>CATEGORIES!D6</f>
        <v>0</v>
      </c>
      <c r="D16" s="6">
        <f>CATEGORIES!E6</f>
        <v>0</v>
      </c>
      <c r="E16" s="7">
        <f>CHANGELOG!A6</f>
        <v>46190</v>
      </c>
      <c r="F16" s="8" t="str">
        <f>CHANGELOG!B6</f>
        <v>S_UTILITIES_MANHOLE</v>
      </c>
      <c r="G16" s="8" t="str">
        <f>CHANGELOG!C6</f>
        <v>1.0.0</v>
      </c>
      <c r="H16" s="8" t="str">
        <f>CHANGELOG!F6</f>
        <v>Initial static sharing-safe block.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tr">
        <f>CATEGORIES!A7</f>
        <v>Survey</v>
      </c>
      <c r="B17" s="6">
        <f>CATEGORIES!C7</f>
        <v>0</v>
      </c>
      <c r="C17" s="6">
        <f>CATEGORIES!D7</f>
        <v>0</v>
      </c>
      <c r="D17" s="6">
        <f>CATEGORIES!E7</f>
        <v>0</v>
      </c>
      <c r="E17" s="7">
        <f>CHANGELOG!A7</f>
        <v>0</v>
      </c>
      <c r="F17" s="8">
        <f>CHANGELOG!B7</f>
        <v>0</v>
      </c>
      <c r="G17" s="8">
        <f>CHANGELOG!C7</f>
        <v>0</v>
      </c>
      <c r="H17" s="8">
        <f>CHANGELOG!F7</f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6" t="str">
        <f>CATEGORIES!A8</f>
        <v>Restoration</v>
      </c>
      <c r="B18" s="6">
        <f>CATEGORIES!C8</f>
        <v>0</v>
      </c>
      <c r="C18" s="6">
        <f>CATEGORIES!D8</f>
        <v>0</v>
      </c>
      <c r="D18" s="6">
        <f>CATEGORIES!E8</f>
        <v>0</v>
      </c>
      <c r="E18" s="7">
        <f>CHANGELOG!A8</f>
        <v>0</v>
      </c>
      <c r="F18" s="8">
        <f>CHANGELOG!B8</f>
        <v>0</v>
      </c>
      <c r="G18" s="8">
        <f>CHANGELOG!C8</f>
        <v>0</v>
      </c>
      <c r="H18" s="8">
        <f>CHANGELOG!F8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6" t="str">
        <f>CATEGORIES!A9</f>
        <v>Construction</v>
      </c>
      <c r="B19" s="6">
        <f>CATEGORIES!C9</f>
        <v>0</v>
      </c>
      <c r="C19" s="6">
        <f>CATEGORIES!D9</f>
        <v>0</v>
      </c>
      <c r="D19" s="6">
        <f>CATEGORIES!E9</f>
        <v>0</v>
      </c>
      <c r="E19" s="7">
        <f>CHANGELOG!A9</f>
        <v>0</v>
      </c>
      <c r="F19" s="8">
        <f>CHANGELOG!B9</f>
        <v>0</v>
      </c>
      <c r="G19" s="8">
        <f>CHANGELOG!C9</f>
        <v>0</v>
      </c>
      <c r="H19" s="8">
        <f>CHANGELOG!F9</f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6" t="str">
        <f>CATEGORIES!A10</f>
        <v>Details</v>
      </c>
      <c r="B20" s="6">
        <f>CATEGORIES!C10</f>
        <v>0</v>
      </c>
      <c r="C20" s="6">
        <f>CATEGORIES!D10</f>
        <v>0</v>
      </c>
      <c r="D20" s="6">
        <f>CATEGORIES!E10</f>
        <v>0</v>
      </c>
      <c r="E20" s="7">
        <f>CHANGELOG!A10</f>
        <v>0</v>
      </c>
      <c r="F20" s="8">
        <f>CHANGELOG!B10</f>
        <v>0</v>
      </c>
      <c r="G20" s="8">
        <f>CHANGELOG!C10</f>
        <v>0</v>
      </c>
      <c r="H20" s="8">
        <f>CHANGELOG!F10</f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5">
    <mergeCell ref="A1:H1"/>
    <mergeCell ref="A2:H2"/>
    <mergeCell ref="E4:H4"/>
    <mergeCell ref="A13:D13"/>
    <mergeCell ref="E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0"/>
  <sheetViews>
    <sheetView workbookViewId="0">
      <selection sqref="A1:N1"/>
    </sheetView>
  </sheetViews>
  <sheetFormatPr defaultRowHeight="14.25"/>
  <cols>
    <col min="1" max="1" width="25" customWidth="1"/>
    <col min="2" max="2" width="18" customWidth="1"/>
    <col min="3" max="3" width="13" customWidth="1"/>
    <col min="4" max="4" width="14" customWidth="1"/>
    <col min="5" max="5" width="15" customWidth="1"/>
    <col min="6" max="7" width="14" customWidth="1"/>
    <col min="8" max="9" width="18" customWidth="1"/>
    <col min="10" max="10" width="42" customWidth="1"/>
    <col min="11" max="11" width="34" customWidth="1"/>
    <col min="12" max="13" width="30" customWidth="1"/>
    <col min="14" max="14" width="40" customWidth="1"/>
  </cols>
  <sheetData>
    <row r="1" spans="1:26" ht="33.950000000000003" customHeight="1">
      <c r="A1" s="14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42</v>
      </c>
      <c r="B4" s="1" t="s">
        <v>32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>
      <c r="A5" s="8" t="s">
        <v>54</v>
      </c>
      <c r="B5" s="8" t="s">
        <v>55</v>
      </c>
      <c r="C5" s="8" t="s">
        <v>33</v>
      </c>
      <c r="D5" s="8" t="s">
        <v>35</v>
      </c>
      <c r="E5" s="8" t="s">
        <v>56</v>
      </c>
      <c r="F5" s="8" t="s">
        <v>56</v>
      </c>
      <c r="G5" s="7">
        <v>46190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>
      <c r="A6" s="8" t="s">
        <v>64</v>
      </c>
      <c r="B6" s="8" t="s">
        <v>55</v>
      </c>
      <c r="C6" s="8" t="s">
        <v>33</v>
      </c>
      <c r="D6" s="8" t="s">
        <v>65</v>
      </c>
      <c r="E6" s="8" t="s">
        <v>66</v>
      </c>
      <c r="F6" s="8" t="s">
        <v>67</v>
      </c>
      <c r="G6" s="7"/>
      <c r="H6" s="8" t="s">
        <v>57</v>
      </c>
      <c r="I6" s="8" t="s">
        <v>58</v>
      </c>
      <c r="J6" s="8" t="s">
        <v>68</v>
      </c>
      <c r="K6" s="8" t="s">
        <v>69</v>
      </c>
      <c r="L6" s="8" t="s">
        <v>70</v>
      </c>
      <c r="M6" s="8" t="s">
        <v>71</v>
      </c>
      <c r="N6" s="8" t="s">
        <v>72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>
      <c r="A7" s="8" t="s">
        <v>73</v>
      </c>
      <c r="B7" s="8" t="s">
        <v>55</v>
      </c>
      <c r="C7" s="8" t="s">
        <v>34</v>
      </c>
      <c r="D7" s="8" t="s">
        <v>35</v>
      </c>
      <c r="E7" s="8" t="s">
        <v>66</v>
      </c>
      <c r="F7" s="8" t="s">
        <v>66</v>
      </c>
      <c r="G7" s="7">
        <v>46190</v>
      </c>
      <c r="H7" s="8" t="s">
        <v>57</v>
      </c>
      <c r="I7" s="8" t="s">
        <v>58</v>
      </c>
      <c r="J7" s="8" t="s">
        <v>74</v>
      </c>
      <c r="K7" s="8" t="s">
        <v>75</v>
      </c>
      <c r="L7" s="8" t="s">
        <v>76</v>
      </c>
      <c r="M7" s="8" t="s">
        <v>77</v>
      </c>
      <c r="N7" s="8" t="s">
        <v>78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>
      <c r="A8" s="8" t="s">
        <v>79</v>
      </c>
      <c r="B8" s="8" t="s">
        <v>55</v>
      </c>
      <c r="C8" s="8" t="s">
        <v>33</v>
      </c>
      <c r="D8" s="8" t="s">
        <v>80</v>
      </c>
      <c r="E8" s="8" t="s">
        <v>81</v>
      </c>
      <c r="F8" s="8" t="s">
        <v>66</v>
      </c>
      <c r="G8" s="7"/>
      <c r="H8" s="8" t="s">
        <v>57</v>
      </c>
      <c r="I8" s="8" t="s">
        <v>58</v>
      </c>
      <c r="J8" s="8" t="s">
        <v>82</v>
      </c>
      <c r="K8" s="8" t="s">
        <v>83</v>
      </c>
      <c r="L8" s="8" t="s">
        <v>84</v>
      </c>
      <c r="M8" s="8"/>
      <c r="N8" s="8" t="s">
        <v>85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/>
      <c r="B9" s="8"/>
      <c r="C9" s="8"/>
      <c r="D9" s="8"/>
      <c r="E9" s="8"/>
      <c r="F9" s="8"/>
      <c r="G9" s="7"/>
      <c r="H9" s="8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/>
      <c r="B10" s="8"/>
      <c r="C10" s="8"/>
      <c r="D10" s="8"/>
      <c r="E10" s="8"/>
      <c r="F10" s="8"/>
      <c r="G10" s="7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/>
      <c r="B11" s="8"/>
      <c r="C11" s="8"/>
      <c r="D11" s="8"/>
      <c r="E11" s="8"/>
      <c r="F11" s="8"/>
      <c r="G11" s="7"/>
      <c r="H11" s="8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/>
      <c r="B12" s="8"/>
      <c r="C12" s="8"/>
      <c r="D12" s="8"/>
      <c r="E12" s="8"/>
      <c r="F12" s="8"/>
      <c r="G12" s="7"/>
      <c r="H12" s="8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/>
      <c r="B13" s="8"/>
      <c r="C13" s="8"/>
      <c r="D13" s="8"/>
      <c r="E13" s="8"/>
      <c r="F13" s="8"/>
      <c r="G13" s="7"/>
      <c r="H13" s="8"/>
      <c r="I13" s="8"/>
      <c r="J13" s="8"/>
      <c r="K13" s="8"/>
      <c r="L13" s="8"/>
      <c r="M13" s="8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/>
      <c r="B14" s="8"/>
      <c r="C14" s="8"/>
      <c r="D14" s="8"/>
      <c r="E14" s="8"/>
      <c r="F14" s="8"/>
      <c r="G14" s="7"/>
      <c r="H14" s="8"/>
      <c r="I14" s="8"/>
      <c r="J14" s="8"/>
      <c r="K14" s="8"/>
      <c r="L14" s="8"/>
      <c r="M14" s="8"/>
      <c r="N14" s="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/>
      <c r="B15" s="8"/>
      <c r="C15" s="8"/>
      <c r="D15" s="8"/>
      <c r="E15" s="8"/>
      <c r="F15" s="8"/>
      <c r="G15" s="7"/>
      <c r="H15" s="8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/>
      <c r="B16" s="8"/>
      <c r="C16" s="8"/>
      <c r="D16" s="8"/>
      <c r="E16" s="8"/>
      <c r="F16" s="8"/>
      <c r="G16" s="7"/>
      <c r="H16" s="8"/>
      <c r="I16" s="8"/>
      <c r="J16" s="8"/>
      <c r="K16" s="8"/>
      <c r="L16" s="8"/>
      <c r="M16" s="8"/>
      <c r="N16" s="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/>
      <c r="B17" s="8"/>
      <c r="C17" s="8"/>
      <c r="D17" s="8"/>
      <c r="E17" s="8"/>
      <c r="F17" s="8"/>
      <c r="G17" s="7"/>
      <c r="H17" s="8"/>
      <c r="I17" s="8"/>
      <c r="J17" s="8"/>
      <c r="K17" s="8"/>
      <c r="L17" s="8"/>
      <c r="M17" s="8"/>
      <c r="N17" s="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/>
      <c r="B18" s="8"/>
      <c r="C18" s="8"/>
      <c r="D18" s="8"/>
      <c r="E18" s="8"/>
      <c r="F18" s="8"/>
      <c r="G18" s="7"/>
      <c r="H18" s="8"/>
      <c r="I18" s="8"/>
      <c r="J18" s="8"/>
      <c r="K18" s="8"/>
      <c r="L18" s="8"/>
      <c r="M18" s="8"/>
      <c r="N18" s="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/>
      <c r="B19" s="8"/>
      <c r="C19" s="8"/>
      <c r="D19" s="8"/>
      <c r="E19" s="8"/>
      <c r="F19" s="8"/>
      <c r="G19" s="7"/>
      <c r="H19" s="8"/>
      <c r="I19" s="8"/>
      <c r="J19" s="8"/>
      <c r="K19" s="8"/>
      <c r="L19" s="8"/>
      <c r="M19" s="8"/>
      <c r="N19" s="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/>
      <c r="B20" s="8"/>
      <c r="C20" s="8"/>
      <c r="D20" s="8"/>
      <c r="E20" s="8"/>
      <c r="F20" s="8"/>
      <c r="G20" s="7"/>
      <c r="H20" s="8"/>
      <c r="I20" s="8"/>
      <c r="J20" s="8"/>
      <c r="K20" s="8"/>
      <c r="L20" s="8"/>
      <c r="M20" s="8"/>
      <c r="N20" s="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/>
      <c r="B21" s="8"/>
      <c r="C21" s="8"/>
      <c r="D21" s="8"/>
      <c r="E21" s="8"/>
      <c r="F21" s="8"/>
      <c r="G21" s="7"/>
      <c r="H21" s="8"/>
      <c r="I21" s="8"/>
      <c r="J21" s="8"/>
      <c r="K21" s="8"/>
      <c r="L21" s="8"/>
      <c r="M21" s="8"/>
      <c r="N21" s="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/>
      <c r="B22" s="8"/>
      <c r="C22" s="8"/>
      <c r="D22" s="8"/>
      <c r="E22" s="8"/>
      <c r="F22" s="8"/>
      <c r="G22" s="7"/>
      <c r="H22" s="8"/>
      <c r="I22" s="8"/>
      <c r="J22" s="8"/>
      <c r="K22" s="8"/>
      <c r="L22" s="8"/>
      <c r="M22" s="8"/>
      <c r="N22" s="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/>
      <c r="B23" s="8"/>
      <c r="C23" s="8"/>
      <c r="D23" s="8"/>
      <c r="E23" s="8"/>
      <c r="F23" s="8"/>
      <c r="G23" s="7"/>
      <c r="H23" s="8"/>
      <c r="I23" s="8"/>
      <c r="J23" s="8"/>
      <c r="K23" s="8"/>
      <c r="L23" s="8"/>
      <c r="M23" s="8"/>
      <c r="N23" s="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/>
      <c r="B24" s="8"/>
      <c r="C24" s="8"/>
      <c r="D24" s="8"/>
      <c r="E24" s="8"/>
      <c r="F24" s="8"/>
      <c r="G24" s="7"/>
      <c r="H24" s="8"/>
      <c r="I24" s="8"/>
      <c r="J24" s="8"/>
      <c r="K24" s="8"/>
      <c r="L24" s="8"/>
      <c r="M24" s="8"/>
      <c r="N24" s="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/>
      <c r="B25" s="8"/>
      <c r="C25" s="8"/>
      <c r="D25" s="8"/>
      <c r="E25" s="8"/>
      <c r="F25" s="8"/>
      <c r="G25" s="7"/>
      <c r="H25" s="8"/>
      <c r="I25" s="8"/>
      <c r="J25" s="8"/>
      <c r="K25" s="8"/>
      <c r="L25" s="8"/>
      <c r="M25" s="8"/>
      <c r="N25" s="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/>
      <c r="B26" s="8"/>
      <c r="C26" s="8"/>
      <c r="D26" s="8"/>
      <c r="E26" s="8"/>
      <c r="F26" s="8"/>
      <c r="G26" s="7"/>
      <c r="H26" s="8"/>
      <c r="I26" s="8"/>
      <c r="J26" s="8"/>
      <c r="K26" s="8"/>
      <c r="L26" s="8"/>
      <c r="M26" s="8"/>
      <c r="N26" s="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/>
      <c r="B27" s="8"/>
      <c r="C27" s="8"/>
      <c r="D27" s="8"/>
      <c r="E27" s="8"/>
      <c r="F27" s="8"/>
      <c r="G27" s="7"/>
      <c r="H27" s="8"/>
      <c r="I27" s="8"/>
      <c r="J27" s="8"/>
      <c r="K27" s="8"/>
      <c r="L27" s="8"/>
      <c r="M27" s="8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/>
      <c r="B28" s="8"/>
      <c r="C28" s="8"/>
      <c r="D28" s="8"/>
      <c r="E28" s="8"/>
      <c r="F28" s="8"/>
      <c r="G28" s="7"/>
      <c r="H28" s="8"/>
      <c r="I28" s="8"/>
      <c r="J28" s="8"/>
      <c r="K28" s="8"/>
      <c r="L28" s="8"/>
      <c r="M28" s="8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/>
      <c r="B29" s="8"/>
      <c r="C29" s="8"/>
      <c r="D29" s="8"/>
      <c r="E29" s="8"/>
      <c r="F29" s="8"/>
      <c r="G29" s="7"/>
      <c r="H29" s="8"/>
      <c r="I29" s="8"/>
      <c r="J29" s="8"/>
      <c r="K29" s="8"/>
      <c r="L29" s="8"/>
      <c r="M29" s="8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/>
      <c r="B30" s="8"/>
      <c r="C30" s="8"/>
      <c r="D30" s="8"/>
      <c r="E30" s="8"/>
      <c r="F30" s="8"/>
      <c r="G30" s="7"/>
      <c r="H30" s="8"/>
      <c r="I30" s="8"/>
      <c r="J30" s="8"/>
      <c r="K30" s="8"/>
      <c r="L30" s="8"/>
      <c r="M30" s="8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/>
      <c r="B31" s="8"/>
      <c r="C31" s="8"/>
      <c r="D31" s="8"/>
      <c r="E31" s="8"/>
      <c r="F31" s="8"/>
      <c r="G31" s="7"/>
      <c r="H31" s="8"/>
      <c r="I31" s="8"/>
      <c r="J31" s="8"/>
      <c r="K31" s="8"/>
      <c r="L31" s="8"/>
      <c r="M31" s="8"/>
      <c r="N31" s="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/>
      <c r="B32" s="8"/>
      <c r="C32" s="8"/>
      <c r="D32" s="8"/>
      <c r="E32" s="8"/>
      <c r="F32" s="8"/>
      <c r="G32" s="7"/>
      <c r="H32" s="8"/>
      <c r="I32" s="8"/>
      <c r="J32" s="8"/>
      <c r="K32" s="8"/>
      <c r="L32" s="8"/>
      <c r="M32" s="8"/>
      <c r="N32" s="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/>
      <c r="B33" s="8"/>
      <c r="C33" s="8"/>
      <c r="D33" s="8"/>
      <c r="E33" s="8"/>
      <c r="F33" s="8"/>
      <c r="G33" s="7"/>
      <c r="H33" s="8"/>
      <c r="I33" s="8"/>
      <c r="J33" s="8"/>
      <c r="K33" s="8"/>
      <c r="L33" s="8"/>
      <c r="M33" s="8"/>
      <c r="N33" s="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/>
      <c r="B34" s="8"/>
      <c r="C34" s="8"/>
      <c r="D34" s="8"/>
      <c r="E34" s="8"/>
      <c r="F34" s="8"/>
      <c r="G34" s="7"/>
      <c r="H34" s="8"/>
      <c r="I34" s="8"/>
      <c r="J34" s="8"/>
      <c r="K34" s="8"/>
      <c r="L34" s="8"/>
      <c r="M34" s="8"/>
      <c r="N34" s="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/>
      <c r="B35" s="8"/>
      <c r="C35" s="8"/>
      <c r="D35" s="8"/>
      <c r="E35" s="8"/>
      <c r="F35" s="8"/>
      <c r="G35" s="7"/>
      <c r="H35" s="8"/>
      <c r="I35" s="8"/>
      <c r="J35" s="8"/>
      <c r="K35" s="8"/>
      <c r="L35" s="8"/>
      <c r="M35" s="8"/>
      <c r="N35" s="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/>
      <c r="B36" s="8"/>
      <c r="C36" s="8"/>
      <c r="D36" s="8"/>
      <c r="E36" s="8"/>
      <c r="F36" s="8"/>
      <c r="G36" s="7"/>
      <c r="H36" s="8"/>
      <c r="I36" s="8"/>
      <c r="J36" s="8"/>
      <c r="K36" s="8"/>
      <c r="L36" s="8"/>
      <c r="M36" s="8"/>
      <c r="N36" s="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/>
      <c r="B37" s="8"/>
      <c r="C37" s="8"/>
      <c r="D37" s="8"/>
      <c r="E37" s="8"/>
      <c r="F37" s="8"/>
      <c r="G37" s="7"/>
      <c r="H37" s="8"/>
      <c r="I37" s="8"/>
      <c r="J37" s="8"/>
      <c r="K37" s="8"/>
      <c r="L37" s="8"/>
      <c r="M37" s="8"/>
      <c r="N37" s="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/>
      <c r="B38" s="8"/>
      <c r="C38" s="8"/>
      <c r="D38" s="8"/>
      <c r="E38" s="8"/>
      <c r="F38" s="8"/>
      <c r="G38" s="7"/>
      <c r="H38" s="8"/>
      <c r="I38" s="8"/>
      <c r="J38" s="8"/>
      <c r="K38" s="8"/>
      <c r="L38" s="8"/>
      <c r="M38" s="8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/>
      <c r="B39" s="8"/>
      <c r="C39" s="8"/>
      <c r="D39" s="8"/>
      <c r="E39" s="8"/>
      <c r="F39" s="8"/>
      <c r="G39" s="7"/>
      <c r="H39" s="8"/>
      <c r="I39" s="8"/>
      <c r="J39" s="8"/>
      <c r="K39" s="8"/>
      <c r="L39" s="8"/>
      <c r="M39" s="8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/>
      <c r="B40" s="8"/>
      <c r="C40" s="8"/>
      <c r="D40" s="8"/>
      <c r="E40" s="8"/>
      <c r="F40" s="8"/>
      <c r="G40" s="7"/>
      <c r="H40" s="8"/>
      <c r="I40" s="8"/>
      <c r="J40" s="8"/>
      <c r="K40" s="8"/>
      <c r="L40" s="8"/>
      <c r="M40" s="8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/>
      <c r="B41" s="8"/>
      <c r="C41" s="8"/>
      <c r="D41" s="8"/>
      <c r="E41" s="8"/>
      <c r="F41" s="8"/>
      <c r="G41" s="7"/>
      <c r="H41" s="8"/>
      <c r="I41" s="8"/>
      <c r="J41" s="8"/>
      <c r="K41" s="8"/>
      <c r="L41" s="8"/>
      <c r="M41" s="8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/>
      <c r="B42" s="8"/>
      <c r="C42" s="8"/>
      <c r="D42" s="8"/>
      <c r="E42" s="8"/>
      <c r="F42" s="8"/>
      <c r="G42" s="7"/>
      <c r="H42" s="8"/>
      <c r="I42" s="8"/>
      <c r="J42" s="8"/>
      <c r="K42" s="8"/>
      <c r="L42" s="8"/>
      <c r="M42" s="8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/>
      <c r="B43" s="8"/>
      <c r="C43" s="8"/>
      <c r="D43" s="8"/>
      <c r="E43" s="8"/>
      <c r="F43" s="8"/>
      <c r="G43" s="7"/>
      <c r="H43" s="8"/>
      <c r="I43" s="8"/>
      <c r="J43" s="8"/>
      <c r="K43" s="8"/>
      <c r="L43" s="8"/>
      <c r="M43" s="8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/>
      <c r="B44" s="8"/>
      <c r="C44" s="8"/>
      <c r="D44" s="8"/>
      <c r="E44" s="8"/>
      <c r="F44" s="8"/>
      <c r="G44" s="7"/>
      <c r="H44" s="8"/>
      <c r="I44" s="8"/>
      <c r="J44" s="8"/>
      <c r="K44" s="8"/>
      <c r="L44" s="8"/>
      <c r="M44" s="8"/>
      <c r="N44" s="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/>
      <c r="B45" s="8"/>
      <c r="C45" s="8"/>
      <c r="D45" s="8"/>
      <c r="E45" s="8"/>
      <c r="F45" s="8"/>
      <c r="G45" s="7"/>
      <c r="H45" s="8"/>
      <c r="I45" s="8"/>
      <c r="J45" s="8"/>
      <c r="K45" s="8"/>
      <c r="L45" s="8"/>
      <c r="M45" s="8"/>
      <c r="N45" s="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/>
      <c r="B46" s="8"/>
      <c r="C46" s="8"/>
      <c r="D46" s="8"/>
      <c r="E46" s="8"/>
      <c r="F46" s="8"/>
      <c r="G46" s="7"/>
      <c r="H46" s="8"/>
      <c r="I46" s="8"/>
      <c r="J46" s="8"/>
      <c r="K46" s="8"/>
      <c r="L46" s="8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/>
      <c r="B47" s="8"/>
      <c r="C47" s="8"/>
      <c r="D47" s="8"/>
      <c r="E47" s="8"/>
      <c r="F47" s="8"/>
      <c r="G47" s="7"/>
      <c r="H47" s="8"/>
      <c r="I47" s="8"/>
      <c r="J47" s="8"/>
      <c r="K47" s="8"/>
      <c r="L47" s="8"/>
      <c r="M47" s="8"/>
      <c r="N47" s="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/>
      <c r="B48" s="8"/>
      <c r="C48" s="8"/>
      <c r="D48" s="8"/>
      <c r="E48" s="8"/>
      <c r="F48" s="8"/>
      <c r="G48" s="7"/>
      <c r="H48" s="8"/>
      <c r="I48" s="8"/>
      <c r="J48" s="8"/>
      <c r="K48" s="8"/>
      <c r="L48" s="8"/>
      <c r="M48" s="8"/>
      <c r="N48" s="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/>
      <c r="B49" s="8"/>
      <c r="C49" s="8"/>
      <c r="D49" s="8"/>
      <c r="E49" s="8"/>
      <c r="F49" s="8"/>
      <c r="G49" s="7"/>
      <c r="H49" s="8"/>
      <c r="I49" s="8"/>
      <c r="J49" s="8"/>
      <c r="K49" s="8"/>
      <c r="L49" s="8"/>
      <c r="M49" s="8"/>
      <c r="N49" s="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/>
      <c r="B50" s="8"/>
      <c r="C50" s="8"/>
      <c r="D50" s="8"/>
      <c r="E50" s="8"/>
      <c r="F50" s="8"/>
      <c r="G50" s="7"/>
      <c r="H50" s="8"/>
      <c r="I50" s="8"/>
      <c r="J50" s="8"/>
      <c r="K50" s="8"/>
      <c r="L50" s="8"/>
      <c r="M50" s="8"/>
      <c r="N50" s="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/>
      <c r="B51" s="8"/>
      <c r="C51" s="8"/>
      <c r="D51" s="8"/>
      <c r="E51" s="8"/>
      <c r="F51" s="8"/>
      <c r="G51" s="7"/>
      <c r="H51" s="8"/>
      <c r="I51" s="8"/>
      <c r="J51" s="8"/>
      <c r="K51" s="8"/>
      <c r="L51" s="8"/>
      <c r="M51" s="8"/>
      <c r="N51" s="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/>
      <c r="B52" s="8"/>
      <c r="C52" s="8"/>
      <c r="D52" s="8"/>
      <c r="E52" s="8"/>
      <c r="F52" s="8"/>
      <c r="G52" s="7"/>
      <c r="H52" s="8"/>
      <c r="I52" s="8"/>
      <c r="J52" s="8"/>
      <c r="K52" s="8"/>
      <c r="L52" s="8"/>
      <c r="M52" s="8"/>
      <c r="N52" s="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/>
      <c r="B53" s="8"/>
      <c r="C53" s="8"/>
      <c r="D53" s="8"/>
      <c r="E53" s="8"/>
      <c r="F53" s="8"/>
      <c r="G53" s="7"/>
      <c r="H53" s="8"/>
      <c r="I53" s="8"/>
      <c r="J53" s="8"/>
      <c r="K53" s="8"/>
      <c r="L53" s="8"/>
      <c r="M53" s="8"/>
      <c r="N53" s="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/>
      <c r="B54" s="8"/>
      <c r="C54" s="8"/>
      <c r="D54" s="8"/>
      <c r="E54" s="8"/>
      <c r="F54" s="8"/>
      <c r="G54" s="7"/>
      <c r="H54" s="8"/>
      <c r="I54" s="8"/>
      <c r="J54" s="8"/>
      <c r="K54" s="8"/>
      <c r="L54" s="8"/>
      <c r="M54" s="8"/>
      <c r="N54" s="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/>
      <c r="B55" s="8"/>
      <c r="C55" s="8"/>
      <c r="D55" s="8"/>
      <c r="E55" s="8"/>
      <c r="F55" s="8"/>
      <c r="G55" s="7"/>
      <c r="H55" s="8"/>
      <c r="I55" s="8"/>
      <c r="J55" s="8"/>
      <c r="K55" s="8"/>
      <c r="L55" s="8"/>
      <c r="M55" s="8"/>
      <c r="N55" s="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/>
      <c r="B56" s="8"/>
      <c r="C56" s="8"/>
      <c r="D56" s="8"/>
      <c r="E56" s="8"/>
      <c r="F56" s="8"/>
      <c r="G56" s="7"/>
      <c r="H56" s="8"/>
      <c r="I56" s="8"/>
      <c r="J56" s="8"/>
      <c r="K56" s="8"/>
      <c r="L56" s="8"/>
      <c r="M56" s="8"/>
      <c r="N56" s="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/>
      <c r="B57" s="8"/>
      <c r="C57" s="8"/>
      <c r="D57" s="8"/>
      <c r="E57" s="8"/>
      <c r="F57" s="8"/>
      <c r="G57" s="7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/>
      <c r="B58" s="8"/>
      <c r="C58" s="8"/>
      <c r="D58" s="8"/>
      <c r="E58" s="8"/>
      <c r="F58" s="8"/>
      <c r="G58" s="7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8"/>
      <c r="B59" s="8"/>
      <c r="C59" s="8"/>
      <c r="D59" s="8"/>
      <c r="E59" s="8"/>
      <c r="F59" s="8"/>
      <c r="G59" s="7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8"/>
      <c r="B60" s="8"/>
      <c r="C60" s="8"/>
      <c r="D60" s="8"/>
      <c r="E60" s="8"/>
      <c r="F60" s="8"/>
      <c r="G60" s="7"/>
      <c r="H60" s="8"/>
      <c r="I60" s="8"/>
      <c r="J60" s="8"/>
      <c r="K60" s="8"/>
      <c r="L60" s="8"/>
      <c r="M60" s="8"/>
      <c r="N60" s="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8"/>
      <c r="B61" s="8"/>
      <c r="C61" s="8"/>
      <c r="D61" s="8"/>
      <c r="E61" s="8"/>
      <c r="F61" s="8"/>
      <c r="G61" s="7"/>
      <c r="H61" s="8"/>
      <c r="I61" s="8"/>
      <c r="J61" s="8"/>
      <c r="K61" s="8"/>
      <c r="L61" s="8"/>
      <c r="M61" s="8"/>
      <c r="N61" s="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8"/>
      <c r="B62" s="8"/>
      <c r="C62" s="8"/>
      <c r="D62" s="8"/>
      <c r="E62" s="8"/>
      <c r="F62" s="8"/>
      <c r="G62" s="7"/>
      <c r="H62" s="8"/>
      <c r="I62" s="8"/>
      <c r="J62" s="8"/>
      <c r="K62" s="8"/>
      <c r="L62" s="8"/>
      <c r="M62" s="8"/>
      <c r="N62" s="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8"/>
      <c r="B63" s="8"/>
      <c r="C63" s="8"/>
      <c r="D63" s="8"/>
      <c r="E63" s="8"/>
      <c r="F63" s="8"/>
      <c r="G63" s="7"/>
      <c r="H63" s="8"/>
      <c r="I63" s="8"/>
      <c r="J63" s="8"/>
      <c r="K63" s="8"/>
      <c r="L63" s="8"/>
      <c r="M63" s="8"/>
      <c r="N63" s="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/>
      <c r="B64" s="8"/>
      <c r="C64" s="8"/>
      <c r="D64" s="8"/>
      <c r="E64" s="8"/>
      <c r="F64" s="8"/>
      <c r="G64" s="7"/>
      <c r="H64" s="8"/>
      <c r="I64" s="8"/>
      <c r="J64" s="8"/>
      <c r="K64" s="8"/>
      <c r="L64" s="8"/>
      <c r="M64" s="8"/>
      <c r="N64" s="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/>
      <c r="B65" s="8"/>
      <c r="C65" s="8"/>
      <c r="D65" s="8"/>
      <c r="E65" s="8"/>
      <c r="F65" s="8"/>
      <c r="G65" s="7"/>
      <c r="H65" s="8"/>
      <c r="I65" s="8"/>
      <c r="J65" s="8"/>
      <c r="K65" s="8"/>
      <c r="L65" s="8"/>
      <c r="M65" s="8"/>
      <c r="N65" s="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/>
      <c r="B66" s="8"/>
      <c r="C66" s="8"/>
      <c r="D66" s="8"/>
      <c r="E66" s="8"/>
      <c r="F66" s="8"/>
      <c r="G66" s="7"/>
      <c r="H66" s="8"/>
      <c r="I66" s="8"/>
      <c r="J66" s="8"/>
      <c r="K66" s="8"/>
      <c r="L66" s="8"/>
      <c r="M66" s="8"/>
      <c r="N66" s="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/>
      <c r="B67" s="8"/>
      <c r="C67" s="8"/>
      <c r="D67" s="8"/>
      <c r="E67" s="8"/>
      <c r="F67" s="8"/>
      <c r="G67" s="7"/>
      <c r="H67" s="8"/>
      <c r="I67" s="8"/>
      <c r="J67" s="8"/>
      <c r="K67" s="8"/>
      <c r="L67" s="8"/>
      <c r="M67" s="8"/>
      <c r="N67" s="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/>
      <c r="B68" s="8"/>
      <c r="C68" s="8"/>
      <c r="D68" s="8"/>
      <c r="E68" s="8"/>
      <c r="F68" s="8"/>
      <c r="G68" s="7"/>
      <c r="H68" s="8"/>
      <c r="I68" s="8"/>
      <c r="J68" s="8"/>
      <c r="K68" s="8"/>
      <c r="L68" s="8"/>
      <c r="M68" s="8"/>
      <c r="N68" s="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/>
      <c r="B69" s="8"/>
      <c r="C69" s="8"/>
      <c r="D69" s="8"/>
      <c r="E69" s="8"/>
      <c r="F69" s="8"/>
      <c r="G69" s="7"/>
      <c r="H69" s="8"/>
      <c r="I69" s="8"/>
      <c r="J69" s="8"/>
      <c r="K69" s="8"/>
      <c r="L69" s="8"/>
      <c r="M69" s="8"/>
      <c r="N69" s="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/>
      <c r="B70" s="8"/>
      <c r="C70" s="8"/>
      <c r="D70" s="8"/>
      <c r="E70" s="8"/>
      <c r="F70" s="8"/>
      <c r="G70" s="7"/>
      <c r="H70" s="8"/>
      <c r="I70" s="8"/>
      <c r="J70" s="8"/>
      <c r="K70" s="8"/>
      <c r="L70" s="8"/>
      <c r="M70" s="8"/>
      <c r="N70" s="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/>
      <c r="B71" s="8"/>
      <c r="C71" s="8"/>
      <c r="D71" s="8"/>
      <c r="E71" s="8"/>
      <c r="F71" s="8"/>
      <c r="G71" s="7"/>
      <c r="H71" s="8"/>
      <c r="I71" s="8"/>
      <c r="J71" s="8"/>
      <c r="K71" s="8"/>
      <c r="L71" s="8"/>
      <c r="M71" s="8"/>
      <c r="N71" s="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/>
      <c r="B72" s="8"/>
      <c r="C72" s="8"/>
      <c r="D72" s="8"/>
      <c r="E72" s="8"/>
      <c r="F72" s="8"/>
      <c r="G72" s="7"/>
      <c r="H72" s="8"/>
      <c r="I72" s="8"/>
      <c r="J72" s="8"/>
      <c r="K72" s="8"/>
      <c r="L72" s="8"/>
      <c r="M72" s="8"/>
      <c r="N72" s="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8"/>
      <c r="B73" s="8"/>
      <c r="C73" s="8"/>
      <c r="D73" s="8"/>
      <c r="E73" s="8"/>
      <c r="F73" s="8"/>
      <c r="G73" s="7"/>
      <c r="H73" s="8"/>
      <c r="I73" s="8"/>
      <c r="J73" s="8"/>
      <c r="K73" s="8"/>
      <c r="L73" s="8"/>
      <c r="M73" s="8"/>
      <c r="N73" s="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8"/>
      <c r="B74" s="8"/>
      <c r="C74" s="8"/>
      <c r="D74" s="8"/>
      <c r="E74" s="8"/>
      <c r="F74" s="8"/>
      <c r="G74" s="7"/>
      <c r="H74" s="8"/>
      <c r="I74" s="8"/>
      <c r="J74" s="8"/>
      <c r="K74" s="8"/>
      <c r="L74" s="8"/>
      <c r="M74" s="8"/>
      <c r="N74" s="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8"/>
      <c r="B75" s="8"/>
      <c r="C75" s="8"/>
      <c r="D75" s="8"/>
      <c r="E75" s="8"/>
      <c r="F75" s="8"/>
      <c r="G75" s="7"/>
      <c r="H75" s="8"/>
      <c r="I75" s="8"/>
      <c r="J75" s="8"/>
      <c r="K75" s="8"/>
      <c r="L75" s="8"/>
      <c r="M75" s="8"/>
      <c r="N75" s="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8"/>
      <c r="B76" s="8"/>
      <c r="C76" s="8"/>
      <c r="D76" s="8"/>
      <c r="E76" s="8"/>
      <c r="F76" s="8"/>
      <c r="G76" s="7"/>
      <c r="H76" s="8"/>
      <c r="I76" s="8"/>
      <c r="J76" s="8"/>
      <c r="K76" s="8"/>
      <c r="L76" s="8"/>
      <c r="M76" s="8"/>
      <c r="N76" s="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8"/>
      <c r="B77" s="8"/>
      <c r="C77" s="8"/>
      <c r="D77" s="8"/>
      <c r="E77" s="8"/>
      <c r="F77" s="8"/>
      <c r="G77" s="7"/>
      <c r="H77" s="8"/>
      <c r="I77" s="8"/>
      <c r="J77" s="8"/>
      <c r="K77" s="8"/>
      <c r="L77" s="8"/>
      <c r="M77" s="8"/>
      <c r="N77" s="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8"/>
      <c r="B78" s="8"/>
      <c r="C78" s="8"/>
      <c r="D78" s="8"/>
      <c r="E78" s="8"/>
      <c r="F78" s="8"/>
      <c r="G78" s="7"/>
      <c r="H78" s="8"/>
      <c r="I78" s="8"/>
      <c r="J78" s="8"/>
      <c r="K78" s="8"/>
      <c r="L78" s="8"/>
      <c r="M78" s="8"/>
      <c r="N78" s="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8"/>
      <c r="B79" s="8"/>
      <c r="C79" s="8"/>
      <c r="D79" s="8"/>
      <c r="E79" s="8"/>
      <c r="F79" s="8"/>
      <c r="G79" s="7"/>
      <c r="H79" s="8"/>
      <c r="I79" s="8"/>
      <c r="J79" s="8"/>
      <c r="K79" s="8"/>
      <c r="L79" s="8"/>
      <c r="M79" s="8"/>
      <c r="N79" s="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/>
      <c r="B80" s="8"/>
      <c r="C80" s="8"/>
      <c r="D80" s="8"/>
      <c r="E80" s="8"/>
      <c r="F80" s="8"/>
      <c r="G80" s="7"/>
      <c r="H80" s="8"/>
      <c r="I80" s="8"/>
      <c r="J80" s="8"/>
      <c r="K80" s="8"/>
      <c r="L80" s="8"/>
      <c r="M80" s="8"/>
      <c r="N80" s="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8"/>
      <c r="B81" s="8"/>
      <c r="C81" s="8"/>
      <c r="D81" s="8"/>
      <c r="E81" s="8"/>
      <c r="F81" s="8"/>
      <c r="G81" s="7"/>
      <c r="H81" s="8"/>
      <c r="I81" s="8"/>
      <c r="J81" s="8"/>
      <c r="K81" s="8"/>
      <c r="L81" s="8"/>
      <c r="M81" s="8"/>
      <c r="N81" s="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8"/>
      <c r="B82" s="8"/>
      <c r="C82" s="8"/>
      <c r="D82" s="8"/>
      <c r="E82" s="8"/>
      <c r="F82" s="8"/>
      <c r="G82" s="7"/>
      <c r="H82" s="8"/>
      <c r="I82" s="8"/>
      <c r="J82" s="8"/>
      <c r="K82" s="8"/>
      <c r="L82" s="8"/>
      <c r="M82" s="8"/>
      <c r="N82" s="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8"/>
      <c r="B83" s="8"/>
      <c r="C83" s="8"/>
      <c r="D83" s="8"/>
      <c r="E83" s="8"/>
      <c r="F83" s="8"/>
      <c r="G83" s="7"/>
      <c r="H83" s="8"/>
      <c r="I83" s="8"/>
      <c r="J83" s="8"/>
      <c r="K83" s="8"/>
      <c r="L83" s="8"/>
      <c r="M83" s="8"/>
      <c r="N83" s="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8"/>
      <c r="B84" s="8"/>
      <c r="C84" s="8"/>
      <c r="D84" s="8"/>
      <c r="E84" s="8"/>
      <c r="F84" s="8"/>
      <c r="G84" s="7"/>
      <c r="H84" s="8"/>
      <c r="I84" s="8"/>
      <c r="J84" s="8"/>
      <c r="K84" s="8"/>
      <c r="L84" s="8"/>
      <c r="M84" s="8"/>
      <c r="N84" s="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8"/>
      <c r="B85" s="8"/>
      <c r="C85" s="8"/>
      <c r="D85" s="8"/>
      <c r="E85" s="8"/>
      <c r="F85" s="8"/>
      <c r="G85" s="7"/>
      <c r="H85" s="8"/>
      <c r="I85" s="8"/>
      <c r="J85" s="8"/>
      <c r="K85" s="8"/>
      <c r="L85" s="8"/>
      <c r="M85" s="8"/>
      <c r="N85" s="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8"/>
      <c r="B86" s="8"/>
      <c r="C86" s="8"/>
      <c r="D86" s="8"/>
      <c r="E86" s="8"/>
      <c r="F86" s="8"/>
      <c r="G86" s="7"/>
      <c r="H86" s="8"/>
      <c r="I86" s="8"/>
      <c r="J86" s="8"/>
      <c r="K86" s="8"/>
      <c r="L86" s="8"/>
      <c r="M86" s="8"/>
      <c r="N86" s="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8"/>
      <c r="B87" s="8"/>
      <c r="C87" s="8"/>
      <c r="D87" s="8"/>
      <c r="E87" s="8"/>
      <c r="F87" s="8"/>
      <c r="G87" s="7"/>
      <c r="H87" s="8"/>
      <c r="I87" s="8"/>
      <c r="J87" s="8"/>
      <c r="K87" s="8"/>
      <c r="L87" s="8"/>
      <c r="M87" s="8"/>
      <c r="N87" s="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8"/>
      <c r="B88" s="8"/>
      <c r="C88" s="8"/>
      <c r="D88" s="8"/>
      <c r="E88" s="8"/>
      <c r="F88" s="8"/>
      <c r="G88" s="7"/>
      <c r="H88" s="8"/>
      <c r="I88" s="8"/>
      <c r="J88" s="8"/>
      <c r="K88" s="8"/>
      <c r="L88" s="8"/>
      <c r="M88" s="8"/>
      <c r="N88" s="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8"/>
      <c r="B89" s="8"/>
      <c r="C89" s="8"/>
      <c r="D89" s="8"/>
      <c r="E89" s="8"/>
      <c r="F89" s="8"/>
      <c r="G89" s="7"/>
      <c r="H89" s="8"/>
      <c r="I89" s="8"/>
      <c r="J89" s="8"/>
      <c r="K89" s="8"/>
      <c r="L89" s="8"/>
      <c r="M89" s="8"/>
      <c r="N89" s="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8"/>
      <c r="B90" s="8"/>
      <c r="C90" s="8"/>
      <c r="D90" s="8"/>
      <c r="E90" s="8"/>
      <c r="F90" s="8"/>
      <c r="G90" s="7"/>
      <c r="H90" s="8"/>
      <c r="I90" s="8"/>
      <c r="J90" s="8"/>
      <c r="K90" s="8"/>
      <c r="L90" s="8"/>
      <c r="M90" s="8"/>
      <c r="N90" s="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8"/>
      <c r="B91" s="8"/>
      <c r="C91" s="8"/>
      <c r="D91" s="8"/>
      <c r="E91" s="8"/>
      <c r="F91" s="8"/>
      <c r="G91" s="7"/>
      <c r="H91" s="8"/>
      <c r="I91" s="8"/>
      <c r="J91" s="8"/>
      <c r="K91" s="8"/>
      <c r="L91" s="8"/>
      <c r="M91" s="8"/>
      <c r="N91" s="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8"/>
      <c r="B92" s="8"/>
      <c r="C92" s="8"/>
      <c r="D92" s="8"/>
      <c r="E92" s="8"/>
      <c r="F92" s="8"/>
      <c r="G92" s="7"/>
      <c r="H92" s="8"/>
      <c r="I92" s="8"/>
      <c r="J92" s="8"/>
      <c r="K92" s="8"/>
      <c r="L92" s="8"/>
      <c r="M92" s="8"/>
      <c r="N92" s="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8"/>
      <c r="B93" s="8"/>
      <c r="C93" s="8"/>
      <c r="D93" s="8"/>
      <c r="E93" s="8"/>
      <c r="F93" s="8"/>
      <c r="G93" s="7"/>
      <c r="H93" s="8"/>
      <c r="I93" s="8"/>
      <c r="J93" s="8"/>
      <c r="K93" s="8"/>
      <c r="L93" s="8"/>
      <c r="M93" s="8"/>
      <c r="N93" s="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8"/>
      <c r="B94" s="8"/>
      <c r="C94" s="8"/>
      <c r="D94" s="8"/>
      <c r="E94" s="8"/>
      <c r="F94" s="8"/>
      <c r="G94" s="7"/>
      <c r="H94" s="8"/>
      <c r="I94" s="8"/>
      <c r="J94" s="8"/>
      <c r="K94" s="8"/>
      <c r="L94" s="8"/>
      <c r="M94" s="8"/>
      <c r="N94" s="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8"/>
      <c r="B95" s="8"/>
      <c r="C95" s="8"/>
      <c r="D95" s="8"/>
      <c r="E95" s="8"/>
      <c r="F95" s="8"/>
      <c r="G95" s="7"/>
      <c r="H95" s="8"/>
      <c r="I95" s="8"/>
      <c r="J95" s="8"/>
      <c r="K95" s="8"/>
      <c r="L95" s="8"/>
      <c r="M95" s="8"/>
      <c r="N95" s="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8"/>
      <c r="B96" s="8"/>
      <c r="C96" s="8"/>
      <c r="D96" s="8"/>
      <c r="E96" s="8"/>
      <c r="F96" s="8"/>
      <c r="G96" s="7"/>
      <c r="H96" s="8"/>
      <c r="I96" s="8"/>
      <c r="J96" s="8"/>
      <c r="K96" s="8"/>
      <c r="L96" s="8"/>
      <c r="M96" s="8"/>
      <c r="N96" s="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8"/>
      <c r="B97" s="8"/>
      <c r="C97" s="8"/>
      <c r="D97" s="8"/>
      <c r="E97" s="8"/>
      <c r="F97" s="8"/>
      <c r="G97" s="7"/>
      <c r="H97" s="8"/>
      <c r="I97" s="8"/>
      <c r="J97" s="8"/>
      <c r="K97" s="8"/>
      <c r="L97" s="8"/>
      <c r="M97" s="8"/>
      <c r="N97" s="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8"/>
      <c r="B98" s="8"/>
      <c r="C98" s="8"/>
      <c r="D98" s="8"/>
      <c r="E98" s="8"/>
      <c r="F98" s="8"/>
      <c r="G98" s="7"/>
      <c r="H98" s="8"/>
      <c r="I98" s="8"/>
      <c r="J98" s="8"/>
      <c r="K98" s="8"/>
      <c r="L98" s="8"/>
      <c r="M98" s="8"/>
      <c r="N98" s="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8"/>
      <c r="B99" s="8"/>
      <c r="C99" s="8"/>
      <c r="D99" s="8"/>
      <c r="E99" s="8"/>
      <c r="F99" s="8"/>
      <c r="G99" s="7"/>
      <c r="H99" s="8"/>
      <c r="I99" s="8"/>
      <c r="J99" s="8"/>
      <c r="K99" s="8"/>
      <c r="L99" s="8"/>
      <c r="M99" s="8"/>
      <c r="N99" s="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8"/>
      <c r="B100" s="8"/>
      <c r="C100" s="8"/>
      <c r="D100" s="8"/>
      <c r="E100" s="8"/>
      <c r="F100" s="8"/>
      <c r="G100" s="7"/>
      <c r="H100" s="8"/>
      <c r="I100" s="8"/>
      <c r="J100" s="8"/>
      <c r="K100" s="8"/>
      <c r="L100" s="8"/>
      <c r="M100" s="8"/>
      <c r="N100" s="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/>
      <c r="B101" s="8"/>
      <c r="C101" s="8"/>
      <c r="D101" s="8"/>
      <c r="E101" s="8"/>
      <c r="F101" s="8"/>
      <c r="G101" s="7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/>
      <c r="B102" s="8"/>
      <c r="C102" s="8"/>
      <c r="D102" s="8"/>
      <c r="E102" s="8"/>
      <c r="F102" s="8"/>
      <c r="G102" s="7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/>
      <c r="B103" s="8"/>
      <c r="C103" s="8"/>
      <c r="D103" s="8"/>
      <c r="E103" s="8"/>
      <c r="F103" s="8"/>
      <c r="G103" s="7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/>
      <c r="B104" s="8"/>
      <c r="C104" s="8"/>
      <c r="D104" s="8"/>
      <c r="E104" s="8"/>
      <c r="F104" s="8"/>
      <c r="G104" s="7"/>
      <c r="H104" s="8"/>
      <c r="I104" s="8"/>
      <c r="J104" s="8"/>
      <c r="K104" s="8"/>
      <c r="L104" s="8"/>
      <c r="M104" s="8"/>
      <c r="N104" s="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N1"/>
    <mergeCell ref="A2:N2"/>
  </mergeCells>
  <conditionalFormatting sqref="D5:D104">
    <cfRule type="expression" dxfId="22" priority="1">
      <formula>D5="Production"</formula>
    </cfRule>
    <cfRule type="expression" dxfId="21" priority="2">
      <formula>D5="Development"</formula>
    </cfRule>
    <cfRule type="expression" dxfId="20" priority="3">
      <formula>D5="Deprecated"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SETUP!$C$5:$C$16</xm:f>
          </x14:formula1>
          <xm:sqref>B5:B104</xm:sqref>
        </x14:dataValidation>
        <x14:dataValidation type="list" xr:uid="{00000000-0002-0000-0100-000001000000}">
          <x14:formula1>
            <xm:f>SETUP!$A$5:$A$6</xm:f>
          </x14:formula1>
          <xm:sqref>C5:C104</xm:sqref>
        </x14:dataValidation>
        <x14:dataValidation type="list" xr:uid="{00000000-0002-0000-0100-000002000000}">
          <x14:formula1>
            <xm:f>SETUP!$B$5:$B$9</xm:f>
          </x14:formula1>
          <xm:sqref>D5:D104</xm:sqref>
        </x14:dataValidation>
        <x14:dataValidation type="list" xr:uid="{00000000-0002-0000-0100-000003000000}">
          <x14:formula1>
            <xm:f>SETUP!$F$5:$F$6</xm:f>
          </x14:formula1>
          <xm:sqref>H5:H104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0"/>
  <sheetViews>
    <sheetView workbookViewId="0">
      <selection sqref="A1:H1"/>
    </sheetView>
  </sheetViews>
  <sheetFormatPr defaultRowHeight="14.25"/>
  <cols>
    <col min="1" max="1" width="25" customWidth="1"/>
    <col min="2" max="2" width="22" customWidth="1"/>
    <col min="3" max="3" width="36" customWidth="1"/>
    <col min="4" max="6" width="14" customWidth="1"/>
    <col min="7" max="7" width="13" customWidth="1"/>
    <col min="8" max="8" width="36" customWidth="1"/>
  </cols>
  <sheetData>
    <row r="1" spans="1:26" ht="33.950000000000003" customHeight="1">
      <c r="A1" s="14" t="s">
        <v>86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87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42</v>
      </c>
      <c r="B4" s="1" t="s">
        <v>88</v>
      </c>
      <c r="C4" s="1" t="s">
        <v>89</v>
      </c>
      <c r="D4" s="1" t="s">
        <v>44</v>
      </c>
      <c r="E4" s="1" t="s">
        <v>90</v>
      </c>
      <c r="F4" s="1" t="s">
        <v>91</v>
      </c>
      <c r="G4" s="1" t="s">
        <v>92</v>
      </c>
      <c r="H4" s="1" t="s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">
        <v>54</v>
      </c>
      <c r="B5" s="8" t="s">
        <v>93</v>
      </c>
      <c r="C5" s="8" t="s">
        <v>94</v>
      </c>
      <c r="D5" s="8" t="s">
        <v>35</v>
      </c>
      <c r="E5" s="8" t="s">
        <v>95</v>
      </c>
      <c r="F5" s="7">
        <v>46190</v>
      </c>
      <c r="G5" s="8" t="s">
        <v>96</v>
      </c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">
        <v>54</v>
      </c>
      <c r="B6" s="8" t="s">
        <v>97</v>
      </c>
      <c r="C6" s="8" t="s">
        <v>98</v>
      </c>
      <c r="D6" s="8" t="s">
        <v>35</v>
      </c>
      <c r="E6" s="8" t="s">
        <v>56</v>
      </c>
      <c r="F6" s="7">
        <v>46190</v>
      </c>
      <c r="G6" s="8" t="s">
        <v>96</v>
      </c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64</v>
      </c>
      <c r="B7" s="8" t="s">
        <v>99</v>
      </c>
      <c r="C7" s="8" t="s">
        <v>100</v>
      </c>
      <c r="D7" s="8" t="s">
        <v>65</v>
      </c>
      <c r="E7" s="8" t="s">
        <v>66</v>
      </c>
      <c r="F7" s="7"/>
      <c r="G7" s="8" t="s">
        <v>101</v>
      </c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64</v>
      </c>
      <c r="B8" s="8" t="s">
        <v>102</v>
      </c>
      <c r="C8" s="8" t="s">
        <v>103</v>
      </c>
      <c r="D8" s="8" t="s">
        <v>65</v>
      </c>
      <c r="E8" s="8" t="s">
        <v>66</v>
      </c>
      <c r="F8" s="7"/>
      <c r="G8" s="8" t="s">
        <v>101</v>
      </c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 t="s">
        <v>64</v>
      </c>
      <c r="B9" s="8" t="s">
        <v>104</v>
      </c>
      <c r="C9" s="8" t="s">
        <v>105</v>
      </c>
      <c r="D9" s="8" t="s">
        <v>65</v>
      </c>
      <c r="E9" s="8" t="s">
        <v>66</v>
      </c>
      <c r="F9" s="7"/>
      <c r="G9" s="8" t="s">
        <v>101</v>
      </c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64</v>
      </c>
      <c r="B10" s="8" t="s">
        <v>106</v>
      </c>
      <c r="C10" s="8" t="s">
        <v>107</v>
      </c>
      <c r="D10" s="8" t="s">
        <v>65</v>
      </c>
      <c r="E10" s="8" t="s">
        <v>66</v>
      </c>
      <c r="F10" s="7"/>
      <c r="G10" s="8" t="s">
        <v>101</v>
      </c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/>
      <c r="B11" s="8"/>
      <c r="C11" s="8"/>
      <c r="D11" s="8"/>
      <c r="E11" s="8"/>
      <c r="F11" s="7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/>
      <c r="B12" s="8"/>
      <c r="C12" s="8"/>
      <c r="D12" s="8"/>
      <c r="E12" s="8"/>
      <c r="F12" s="7"/>
      <c r="G12" s="8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/>
      <c r="B13" s="8"/>
      <c r="C13" s="8"/>
      <c r="D13" s="8"/>
      <c r="E13" s="8"/>
      <c r="F13" s="7"/>
      <c r="G13" s="8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/>
      <c r="B14" s="8"/>
      <c r="C14" s="8"/>
      <c r="D14" s="8"/>
      <c r="E14" s="8"/>
      <c r="F14" s="7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/>
      <c r="B15" s="8"/>
      <c r="C15" s="8"/>
      <c r="D15" s="8"/>
      <c r="E15" s="8"/>
      <c r="F15" s="7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/>
      <c r="B16" s="8"/>
      <c r="C16" s="8"/>
      <c r="D16" s="8"/>
      <c r="E16" s="8"/>
      <c r="F16" s="7"/>
      <c r="G16" s="8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/>
      <c r="B17" s="8"/>
      <c r="C17" s="8"/>
      <c r="D17" s="8"/>
      <c r="E17" s="8"/>
      <c r="F17" s="7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/>
      <c r="B18" s="8"/>
      <c r="C18" s="8"/>
      <c r="D18" s="8"/>
      <c r="E18" s="8"/>
      <c r="F18" s="7"/>
      <c r="G18" s="8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/>
      <c r="B19" s="8"/>
      <c r="C19" s="8"/>
      <c r="D19" s="8"/>
      <c r="E19" s="8"/>
      <c r="F19" s="7"/>
      <c r="G19" s="8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/>
      <c r="B20" s="8"/>
      <c r="C20" s="8"/>
      <c r="D20" s="8"/>
      <c r="E20" s="8"/>
      <c r="F20" s="7"/>
      <c r="G20" s="8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/>
      <c r="B21" s="8"/>
      <c r="C21" s="8"/>
      <c r="D21" s="8"/>
      <c r="E21" s="8"/>
      <c r="F21" s="7"/>
      <c r="G21" s="8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/>
      <c r="B22" s="8"/>
      <c r="C22" s="8"/>
      <c r="D22" s="8"/>
      <c r="E22" s="8"/>
      <c r="F22" s="7"/>
      <c r="G22" s="8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/>
      <c r="B23" s="8"/>
      <c r="C23" s="8"/>
      <c r="D23" s="8"/>
      <c r="E23" s="8"/>
      <c r="F23" s="7"/>
      <c r="G23" s="8"/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/>
      <c r="B24" s="8"/>
      <c r="C24" s="8"/>
      <c r="D24" s="8"/>
      <c r="E24" s="8"/>
      <c r="F24" s="7"/>
      <c r="G24" s="8"/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/>
      <c r="B25" s="8"/>
      <c r="C25" s="8"/>
      <c r="D25" s="8"/>
      <c r="E25" s="8"/>
      <c r="F25" s="7"/>
      <c r="G25" s="8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/>
      <c r="B26" s="8"/>
      <c r="C26" s="8"/>
      <c r="D26" s="8"/>
      <c r="E26" s="8"/>
      <c r="F26" s="7"/>
      <c r="G26" s="8"/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/>
      <c r="B27" s="8"/>
      <c r="C27" s="8"/>
      <c r="D27" s="8"/>
      <c r="E27" s="8"/>
      <c r="F27" s="7"/>
      <c r="G27" s="8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/>
      <c r="B28" s="8"/>
      <c r="C28" s="8"/>
      <c r="D28" s="8"/>
      <c r="E28" s="8"/>
      <c r="F28" s="7"/>
      <c r="G28" s="8"/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/>
      <c r="B29" s="8"/>
      <c r="C29" s="8"/>
      <c r="D29" s="8"/>
      <c r="E29" s="8"/>
      <c r="F29" s="7"/>
      <c r="G29" s="8"/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/>
      <c r="B30" s="8"/>
      <c r="C30" s="8"/>
      <c r="D30" s="8"/>
      <c r="E30" s="8"/>
      <c r="F30" s="7"/>
      <c r="G30" s="8"/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/>
      <c r="B31" s="8"/>
      <c r="C31" s="8"/>
      <c r="D31" s="8"/>
      <c r="E31" s="8"/>
      <c r="F31" s="7"/>
      <c r="G31" s="8"/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/>
      <c r="B32" s="8"/>
      <c r="C32" s="8"/>
      <c r="D32" s="8"/>
      <c r="E32" s="8"/>
      <c r="F32" s="7"/>
      <c r="G32" s="8"/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/>
      <c r="B33" s="8"/>
      <c r="C33" s="8"/>
      <c r="D33" s="8"/>
      <c r="E33" s="8"/>
      <c r="F33" s="7"/>
      <c r="G33" s="8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/>
      <c r="B34" s="8"/>
      <c r="C34" s="8"/>
      <c r="D34" s="8"/>
      <c r="E34" s="8"/>
      <c r="F34" s="7"/>
      <c r="G34" s="8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/>
      <c r="B35" s="8"/>
      <c r="C35" s="8"/>
      <c r="D35" s="8"/>
      <c r="E35" s="8"/>
      <c r="F35" s="7"/>
      <c r="G35" s="8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/>
      <c r="B36" s="8"/>
      <c r="C36" s="8"/>
      <c r="D36" s="8"/>
      <c r="E36" s="8"/>
      <c r="F36" s="7"/>
      <c r="G36" s="8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/>
      <c r="B37" s="8"/>
      <c r="C37" s="8"/>
      <c r="D37" s="8"/>
      <c r="E37" s="8"/>
      <c r="F37" s="7"/>
      <c r="G37" s="8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/>
      <c r="B38" s="8"/>
      <c r="C38" s="8"/>
      <c r="D38" s="8"/>
      <c r="E38" s="8"/>
      <c r="F38" s="7"/>
      <c r="G38" s="8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/>
      <c r="B39" s="8"/>
      <c r="C39" s="8"/>
      <c r="D39" s="8"/>
      <c r="E39" s="8"/>
      <c r="F39" s="7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/>
      <c r="B40" s="8"/>
      <c r="C40" s="8"/>
      <c r="D40" s="8"/>
      <c r="E40" s="8"/>
      <c r="F40" s="7"/>
      <c r="G40" s="8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/>
      <c r="B41" s="8"/>
      <c r="C41" s="8"/>
      <c r="D41" s="8"/>
      <c r="E41" s="8"/>
      <c r="F41" s="7"/>
      <c r="G41" s="8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/>
      <c r="B42" s="8"/>
      <c r="C42" s="8"/>
      <c r="D42" s="8"/>
      <c r="E42" s="8"/>
      <c r="F42" s="7"/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/>
      <c r="B43" s="8"/>
      <c r="C43" s="8"/>
      <c r="D43" s="8"/>
      <c r="E43" s="8"/>
      <c r="F43" s="7"/>
      <c r="G43" s="8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/>
      <c r="B44" s="8"/>
      <c r="C44" s="8"/>
      <c r="D44" s="8"/>
      <c r="E44" s="8"/>
      <c r="F44" s="7"/>
      <c r="G44" s="8"/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/>
      <c r="B45" s="8"/>
      <c r="C45" s="8"/>
      <c r="D45" s="8"/>
      <c r="E45" s="8"/>
      <c r="F45" s="7"/>
      <c r="G45" s="8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/>
      <c r="B46" s="8"/>
      <c r="C46" s="8"/>
      <c r="D46" s="8"/>
      <c r="E46" s="8"/>
      <c r="F46" s="7"/>
      <c r="G46" s="8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/>
      <c r="B47" s="8"/>
      <c r="C47" s="8"/>
      <c r="D47" s="8"/>
      <c r="E47" s="8"/>
      <c r="F47" s="7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/>
      <c r="B48" s="8"/>
      <c r="C48" s="8"/>
      <c r="D48" s="8"/>
      <c r="E48" s="8"/>
      <c r="F48" s="7"/>
      <c r="G48" s="8"/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/>
      <c r="B49" s="8"/>
      <c r="C49" s="8"/>
      <c r="D49" s="8"/>
      <c r="E49" s="8"/>
      <c r="F49" s="7"/>
      <c r="G49" s="8"/>
      <c r="H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/>
      <c r="B50" s="8"/>
      <c r="C50" s="8"/>
      <c r="D50" s="8"/>
      <c r="E50" s="8"/>
      <c r="F50" s="7"/>
      <c r="G50" s="8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/>
      <c r="B51" s="8"/>
      <c r="C51" s="8"/>
      <c r="D51" s="8"/>
      <c r="E51" s="8"/>
      <c r="F51" s="7"/>
      <c r="G51" s="8"/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/>
      <c r="B52" s="8"/>
      <c r="C52" s="8"/>
      <c r="D52" s="8"/>
      <c r="E52" s="8"/>
      <c r="F52" s="7"/>
      <c r="G52" s="8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/>
      <c r="B53" s="8"/>
      <c r="C53" s="8"/>
      <c r="D53" s="8"/>
      <c r="E53" s="8"/>
      <c r="F53" s="7"/>
      <c r="G53" s="8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/>
      <c r="B54" s="8"/>
      <c r="C54" s="8"/>
      <c r="D54" s="8"/>
      <c r="E54" s="8"/>
      <c r="F54" s="7"/>
      <c r="G54" s="8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/>
      <c r="B55" s="8"/>
      <c r="C55" s="8"/>
      <c r="D55" s="8"/>
      <c r="E55" s="8"/>
      <c r="F55" s="7"/>
      <c r="G55" s="8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/>
      <c r="B56" s="8"/>
      <c r="C56" s="8"/>
      <c r="D56" s="8"/>
      <c r="E56" s="8"/>
      <c r="F56" s="7"/>
      <c r="G56" s="8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/>
      <c r="B57" s="8"/>
      <c r="C57" s="8"/>
      <c r="D57" s="8"/>
      <c r="E57" s="8"/>
      <c r="F57" s="7"/>
      <c r="G57" s="8"/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/>
      <c r="B58" s="8"/>
      <c r="C58" s="8"/>
      <c r="D58" s="8"/>
      <c r="E58" s="8"/>
      <c r="F58" s="7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8"/>
      <c r="B59" s="8"/>
      <c r="C59" s="8"/>
      <c r="D59" s="8"/>
      <c r="E59" s="8"/>
      <c r="F59" s="7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8"/>
      <c r="B60" s="8"/>
      <c r="C60" s="8"/>
      <c r="D60" s="8"/>
      <c r="E60" s="8"/>
      <c r="F60" s="7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8"/>
      <c r="B61" s="8"/>
      <c r="C61" s="8"/>
      <c r="D61" s="8"/>
      <c r="E61" s="8"/>
      <c r="F61" s="7"/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8"/>
      <c r="B62" s="8"/>
      <c r="C62" s="8"/>
      <c r="D62" s="8"/>
      <c r="E62" s="8"/>
      <c r="F62" s="7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8"/>
      <c r="B63" s="8"/>
      <c r="C63" s="8"/>
      <c r="D63" s="8"/>
      <c r="E63" s="8"/>
      <c r="F63" s="7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/>
      <c r="B64" s="8"/>
      <c r="C64" s="8"/>
      <c r="D64" s="8"/>
      <c r="E64" s="8"/>
      <c r="F64" s="7"/>
      <c r="G64" s="8"/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/>
      <c r="B65" s="8"/>
      <c r="C65" s="8"/>
      <c r="D65" s="8"/>
      <c r="E65" s="8"/>
      <c r="F65" s="7"/>
      <c r="G65" s="8"/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/>
      <c r="B66" s="8"/>
      <c r="C66" s="8"/>
      <c r="D66" s="8"/>
      <c r="E66" s="8"/>
      <c r="F66" s="7"/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/>
      <c r="B67" s="8"/>
      <c r="C67" s="8"/>
      <c r="D67" s="8"/>
      <c r="E67" s="8"/>
      <c r="F67" s="7"/>
      <c r="G67" s="8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/>
      <c r="B68" s="8"/>
      <c r="C68" s="8"/>
      <c r="D68" s="8"/>
      <c r="E68" s="8"/>
      <c r="F68" s="7"/>
      <c r="G68" s="8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/>
      <c r="B69" s="8"/>
      <c r="C69" s="8"/>
      <c r="D69" s="8"/>
      <c r="E69" s="8"/>
      <c r="F69" s="7"/>
      <c r="G69" s="8"/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/>
      <c r="B70" s="8"/>
      <c r="C70" s="8"/>
      <c r="D70" s="8"/>
      <c r="E70" s="8"/>
      <c r="F70" s="7"/>
      <c r="G70" s="8"/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/>
      <c r="B71" s="8"/>
      <c r="C71" s="8"/>
      <c r="D71" s="8"/>
      <c r="E71" s="8"/>
      <c r="F71" s="7"/>
      <c r="G71" s="8"/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/>
      <c r="B72" s="8"/>
      <c r="C72" s="8"/>
      <c r="D72" s="8"/>
      <c r="E72" s="8"/>
      <c r="F72" s="7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8"/>
      <c r="B73" s="8"/>
      <c r="C73" s="8"/>
      <c r="D73" s="8"/>
      <c r="E73" s="8"/>
      <c r="F73" s="7"/>
      <c r="G73" s="8"/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8"/>
      <c r="B74" s="8"/>
      <c r="C74" s="8"/>
      <c r="D74" s="8"/>
      <c r="E74" s="8"/>
      <c r="F74" s="7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8"/>
      <c r="B75" s="8"/>
      <c r="C75" s="8"/>
      <c r="D75" s="8"/>
      <c r="E75" s="8"/>
      <c r="F75" s="7"/>
      <c r="G75" s="8"/>
      <c r="H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8"/>
      <c r="B76" s="8"/>
      <c r="C76" s="8"/>
      <c r="D76" s="8"/>
      <c r="E76" s="8"/>
      <c r="F76" s="7"/>
      <c r="G76" s="8"/>
      <c r="H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8"/>
      <c r="B77" s="8"/>
      <c r="C77" s="8"/>
      <c r="D77" s="8"/>
      <c r="E77" s="8"/>
      <c r="F77" s="7"/>
      <c r="G77" s="8"/>
      <c r="H77" s="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8"/>
      <c r="B78" s="8"/>
      <c r="C78" s="8"/>
      <c r="D78" s="8"/>
      <c r="E78" s="8"/>
      <c r="F78" s="7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8"/>
      <c r="B79" s="8"/>
      <c r="C79" s="8"/>
      <c r="D79" s="8"/>
      <c r="E79" s="8"/>
      <c r="F79" s="7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/>
      <c r="B80" s="8"/>
      <c r="C80" s="8"/>
      <c r="D80" s="8"/>
      <c r="E80" s="8"/>
      <c r="F80" s="7"/>
      <c r="G80" s="8"/>
      <c r="H80" s="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8"/>
      <c r="B81" s="8"/>
      <c r="C81" s="8"/>
      <c r="D81" s="8"/>
      <c r="E81" s="8"/>
      <c r="F81" s="7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8"/>
      <c r="B82" s="8"/>
      <c r="C82" s="8"/>
      <c r="D82" s="8"/>
      <c r="E82" s="8"/>
      <c r="F82" s="7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8"/>
      <c r="B83" s="8"/>
      <c r="C83" s="8"/>
      <c r="D83" s="8"/>
      <c r="E83" s="8"/>
      <c r="F83" s="7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8"/>
      <c r="B84" s="8"/>
      <c r="C84" s="8"/>
      <c r="D84" s="8"/>
      <c r="E84" s="8"/>
      <c r="F84" s="7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8"/>
      <c r="B85" s="8"/>
      <c r="C85" s="8"/>
      <c r="D85" s="8"/>
      <c r="E85" s="8"/>
      <c r="F85" s="7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8"/>
      <c r="B86" s="8"/>
      <c r="C86" s="8"/>
      <c r="D86" s="8"/>
      <c r="E86" s="8"/>
      <c r="F86" s="7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8"/>
      <c r="B87" s="8"/>
      <c r="C87" s="8"/>
      <c r="D87" s="8"/>
      <c r="E87" s="8"/>
      <c r="F87" s="7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8"/>
      <c r="B88" s="8"/>
      <c r="C88" s="8"/>
      <c r="D88" s="8"/>
      <c r="E88" s="8"/>
      <c r="F88" s="7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8"/>
      <c r="B89" s="8"/>
      <c r="C89" s="8"/>
      <c r="D89" s="8"/>
      <c r="E89" s="8"/>
      <c r="F89" s="7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8"/>
      <c r="B90" s="8"/>
      <c r="C90" s="8"/>
      <c r="D90" s="8"/>
      <c r="E90" s="8"/>
      <c r="F90" s="7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8"/>
      <c r="B91" s="8"/>
      <c r="C91" s="8"/>
      <c r="D91" s="8"/>
      <c r="E91" s="8"/>
      <c r="F91" s="7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8"/>
      <c r="B92" s="8"/>
      <c r="C92" s="8"/>
      <c r="D92" s="8"/>
      <c r="E92" s="8"/>
      <c r="F92" s="7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8"/>
      <c r="B93" s="8"/>
      <c r="C93" s="8"/>
      <c r="D93" s="8"/>
      <c r="E93" s="8"/>
      <c r="F93" s="7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8"/>
      <c r="B94" s="8"/>
      <c r="C94" s="8"/>
      <c r="D94" s="8"/>
      <c r="E94" s="8"/>
      <c r="F94" s="7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8"/>
      <c r="B95" s="8"/>
      <c r="C95" s="8"/>
      <c r="D95" s="8"/>
      <c r="E95" s="8"/>
      <c r="F95" s="7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8"/>
      <c r="B96" s="8"/>
      <c r="C96" s="8"/>
      <c r="D96" s="8"/>
      <c r="E96" s="8"/>
      <c r="F96" s="7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8"/>
      <c r="B97" s="8"/>
      <c r="C97" s="8"/>
      <c r="D97" s="8"/>
      <c r="E97" s="8"/>
      <c r="F97" s="7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8"/>
      <c r="B98" s="8"/>
      <c r="C98" s="8"/>
      <c r="D98" s="8"/>
      <c r="E98" s="8"/>
      <c r="F98" s="7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8"/>
      <c r="B99" s="8"/>
      <c r="C99" s="8"/>
      <c r="D99" s="8"/>
      <c r="E99" s="8"/>
      <c r="F99" s="7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8"/>
      <c r="B100" s="8"/>
      <c r="C100" s="8"/>
      <c r="D100" s="8"/>
      <c r="E100" s="8"/>
      <c r="F100" s="7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/>
      <c r="B101" s="8"/>
      <c r="C101" s="8"/>
      <c r="D101" s="8"/>
      <c r="E101" s="8"/>
      <c r="F101" s="7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/>
      <c r="B102" s="8"/>
      <c r="C102" s="8"/>
      <c r="D102" s="8"/>
      <c r="E102" s="8"/>
      <c r="F102" s="7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/>
      <c r="B103" s="8"/>
      <c r="C103" s="8"/>
      <c r="D103" s="8"/>
      <c r="E103" s="8"/>
      <c r="F103" s="7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/>
      <c r="B104" s="8"/>
      <c r="C104" s="8"/>
      <c r="D104" s="8"/>
      <c r="E104" s="8"/>
      <c r="F104" s="7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8"/>
      <c r="B105" s="8"/>
      <c r="C105" s="8"/>
      <c r="D105" s="8"/>
      <c r="E105" s="8"/>
      <c r="F105" s="7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8"/>
      <c r="B106" s="8"/>
      <c r="C106" s="8"/>
      <c r="D106" s="8"/>
      <c r="E106" s="8"/>
      <c r="F106" s="7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8"/>
      <c r="B107" s="8"/>
      <c r="C107" s="8"/>
      <c r="D107" s="8"/>
      <c r="E107" s="8"/>
      <c r="F107" s="7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8"/>
      <c r="B108" s="8"/>
      <c r="C108" s="8"/>
      <c r="D108" s="8"/>
      <c r="E108" s="8"/>
      <c r="F108" s="7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8"/>
      <c r="B109" s="8"/>
      <c r="C109" s="8"/>
      <c r="D109" s="8"/>
      <c r="E109" s="8"/>
      <c r="F109" s="7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8"/>
      <c r="B110" s="8"/>
      <c r="C110" s="8"/>
      <c r="D110" s="8"/>
      <c r="E110" s="8"/>
      <c r="F110" s="7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8"/>
      <c r="B111" s="8"/>
      <c r="C111" s="8"/>
      <c r="D111" s="8"/>
      <c r="E111" s="8"/>
      <c r="F111" s="7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8"/>
      <c r="B112" s="8"/>
      <c r="C112" s="8"/>
      <c r="D112" s="8"/>
      <c r="E112" s="8"/>
      <c r="F112" s="7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8"/>
      <c r="B113" s="8"/>
      <c r="C113" s="8"/>
      <c r="D113" s="8"/>
      <c r="E113" s="8"/>
      <c r="F113" s="7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8"/>
      <c r="B114" s="8"/>
      <c r="C114" s="8"/>
      <c r="D114" s="8"/>
      <c r="E114" s="8"/>
      <c r="F114" s="7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8"/>
      <c r="B115" s="8"/>
      <c r="C115" s="8"/>
      <c r="D115" s="8"/>
      <c r="E115" s="8"/>
      <c r="F115" s="7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8"/>
      <c r="B116" s="8"/>
      <c r="C116" s="8"/>
      <c r="D116" s="8"/>
      <c r="E116" s="8"/>
      <c r="F116" s="7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8"/>
      <c r="B117" s="8"/>
      <c r="C117" s="8"/>
      <c r="D117" s="8"/>
      <c r="E117" s="8"/>
      <c r="F117" s="7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8"/>
      <c r="B118" s="8"/>
      <c r="C118" s="8"/>
      <c r="D118" s="8"/>
      <c r="E118" s="8"/>
      <c r="F118" s="7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8"/>
      <c r="B119" s="8"/>
      <c r="C119" s="8"/>
      <c r="D119" s="8"/>
      <c r="E119" s="8"/>
      <c r="F119" s="7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8"/>
      <c r="B120" s="8"/>
      <c r="C120" s="8"/>
      <c r="D120" s="8"/>
      <c r="E120" s="8"/>
      <c r="F120" s="7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8"/>
      <c r="B121" s="8"/>
      <c r="C121" s="8"/>
      <c r="D121" s="8"/>
      <c r="E121" s="8"/>
      <c r="F121" s="7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8"/>
      <c r="B122" s="8"/>
      <c r="C122" s="8"/>
      <c r="D122" s="8"/>
      <c r="E122" s="8"/>
      <c r="F122" s="7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8"/>
      <c r="B123" s="8"/>
      <c r="C123" s="8"/>
      <c r="D123" s="8"/>
      <c r="E123" s="8"/>
      <c r="F123" s="7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8"/>
      <c r="B124" s="8"/>
      <c r="C124" s="8"/>
      <c r="D124" s="8"/>
      <c r="E124" s="8"/>
      <c r="F124" s="7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8"/>
      <c r="B125" s="8"/>
      <c r="C125" s="8"/>
      <c r="D125" s="8"/>
      <c r="E125" s="8"/>
      <c r="F125" s="7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8"/>
      <c r="B126" s="8"/>
      <c r="C126" s="8"/>
      <c r="D126" s="8"/>
      <c r="E126" s="8"/>
      <c r="F126" s="7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8"/>
      <c r="B127" s="8"/>
      <c r="C127" s="8"/>
      <c r="D127" s="8"/>
      <c r="E127" s="8"/>
      <c r="F127" s="7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8"/>
      <c r="B128" s="8"/>
      <c r="C128" s="8"/>
      <c r="D128" s="8"/>
      <c r="E128" s="8"/>
      <c r="F128" s="7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8"/>
      <c r="B129" s="8"/>
      <c r="C129" s="8"/>
      <c r="D129" s="8"/>
      <c r="E129" s="8"/>
      <c r="F129" s="7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8"/>
      <c r="B130" s="8"/>
      <c r="C130" s="8"/>
      <c r="D130" s="8"/>
      <c r="E130" s="8"/>
      <c r="F130" s="7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8"/>
      <c r="B131" s="8"/>
      <c r="C131" s="8"/>
      <c r="D131" s="8"/>
      <c r="E131" s="8"/>
      <c r="F131" s="7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8"/>
      <c r="B132" s="8"/>
      <c r="C132" s="8"/>
      <c r="D132" s="8"/>
      <c r="E132" s="8"/>
      <c r="F132" s="7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8"/>
      <c r="B133" s="8"/>
      <c r="C133" s="8"/>
      <c r="D133" s="8"/>
      <c r="E133" s="8"/>
      <c r="F133" s="7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8"/>
      <c r="B134" s="8"/>
      <c r="C134" s="8"/>
      <c r="D134" s="8"/>
      <c r="E134" s="8"/>
      <c r="F134" s="7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8"/>
      <c r="B135" s="8"/>
      <c r="C135" s="8"/>
      <c r="D135" s="8"/>
      <c r="E135" s="8"/>
      <c r="F135" s="7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8"/>
      <c r="B136" s="8"/>
      <c r="C136" s="8"/>
      <c r="D136" s="8"/>
      <c r="E136" s="8"/>
      <c r="F136" s="7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8"/>
      <c r="B137" s="8"/>
      <c r="C137" s="8"/>
      <c r="D137" s="8"/>
      <c r="E137" s="8"/>
      <c r="F137" s="7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8"/>
      <c r="B138" s="8"/>
      <c r="C138" s="8"/>
      <c r="D138" s="8"/>
      <c r="E138" s="8"/>
      <c r="F138" s="7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8"/>
      <c r="B139" s="8"/>
      <c r="C139" s="8"/>
      <c r="D139" s="8"/>
      <c r="E139" s="8"/>
      <c r="F139" s="7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8"/>
      <c r="B140" s="8"/>
      <c r="C140" s="8"/>
      <c r="D140" s="8"/>
      <c r="E140" s="8"/>
      <c r="F140" s="7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8"/>
      <c r="B141" s="8"/>
      <c r="C141" s="8"/>
      <c r="D141" s="8"/>
      <c r="E141" s="8"/>
      <c r="F141" s="7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8"/>
      <c r="B142" s="8"/>
      <c r="C142" s="8"/>
      <c r="D142" s="8"/>
      <c r="E142" s="8"/>
      <c r="F142" s="7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8"/>
      <c r="B143" s="8"/>
      <c r="C143" s="8"/>
      <c r="D143" s="8"/>
      <c r="E143" s="8"/>
      <c r="F143" s="7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8"/>
      <c r="B144" s="8"/>
      <c r="C144" s="8"/>
      <c r="D144" s="8"/>
      <c r="E144" s="8"/>
      <c r="F144" s="7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8"/>
      <c r="B145" s="8"/>
      <c r="C145" s="8"/>
      <c r="D145" s="8"/>
      <c r="E145" s="8"/>
      <c r="F145" s="7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8"/>
      <c r="B146" s="8"/>
      <c r="C146" s="8"/>
      <c r="D146" s="8"/>
      <c r="E146" s="8"/>
      <c r="F146" s="7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8"/>
      <c r="B147" s="8"/>
      <c r="C147" s="8"/>
      <c r="D147" s="8"/>
      <c r="E147" s="8"/>
      <c r="F147" s="7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8"/>
      <c r="B148" s="8"/>
      <c r="C148" s="8"/>
      <c r="D148" s="8"/>
      <c r="E148" s="8"/>
      <c r="F148" s="7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8"/>
      <c r="B149" s="8"/>
      <c r="C149" s="8"/>
      <c r="D149" s="8"/>
      <c r="E149" s="8"/>
      <c r="F149" s="7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8"/>
      <c r="B150" s="8"/>
      <c r="C150" s="8"/>
      <c r="D150" s="8"/>
      <c r="E150" s="8"/>
      <c r="F150" s="7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8"/>
      <c r="B151" s="8"/>
      <c r="C151" s="8"/>
      <c r="D151" s="8"/>
      <c r="E151" s="8"/>
      <c r="F151" s="7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8"/>
      <c r="B152" s="8"/>
      <c r="C152" s="8"/>
      <c r="D152" s="8"/>
      <c r="E152" s="8"/>
      <c r="F152" s="7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8"/>
      <c r="B153" s="8"/>
      <c r="C153" s="8"/>
      <c r="D153" s="8"/>
      <c r="E153" s="8"/>
      <c r="F153" s="7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8"/>
      <c r="B154" s="8"/>
      <c r="C154" s="8"/>
      <c r="D154" s="8"/>
      <c r="E154" s="8"/>
      <c r="F154" s="7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8"/>
      <c r="B155" s="8"/>
      <c r="C155" s="8"/>
      <c r="D155" s="8"/>
      <c r="E155" s="8"/>
      <c r="F155" s="7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8"/>
      <c r="B156" s="8"/>
      <c r="C156" s="8"/>
      <c r="D156" s="8"/>
      <c r="E156" s="8"/>
      <c r="F156" s="7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8"/>
      <c r="B157" s="8"/>
      <c r="C157" s="8"/>
      <c r="D157" s="8"/>
      <c r="E157" s="8"/>
      <c r="F157" s="7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8"/>
      <c r="B158" s="8"/>
      <c r="C158" s="8"/>
      <c r="D158" s="8"/>
      <c r="E158" s="8"/>
      <c r="F158" s="7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8"/>
      <c r="B159" s="8"/>
      <c r="C159" s="8"/>
      <c r="D159" s="8"/>
      <c r="E159" s="8"/>
      <c r="F159" s="7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8"/>
      <c r="B160" s="8"/>
      <c r="C160" s="8"/>
      <c r="D160" s="8"/>
      <c r="E160" s="8"/>
      <c r="F160" s="7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8"/>
      <c r="B161" s="8"/>
      <c r="C161" s="8"/>
      <c r="D161" s="8"/>
      <c r="E161" s="8"/>
      <c r="F161" s="7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8"/>
      <c r="B162" s="8"/>
      <c r="C162" s="8"/>
      <c r="D162" s="8"/>
      <c r="E162" s="8"/>
      <c r="F162" s="7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8"/>
      <c r="B163" s="8"/>
      <c r="C163" s="8"/>
      <c r="D163" s="8"/>
      <c r="E163" s="8"/>
      <c r="F163" s="7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8"/>
      <c r="B164" s="8"/>
      <c r="C164" s="8"/>
      <c r="D164" s="8"/>
      <c r="E164" s="8"/>
      <c r="F164" s="7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8"/>
      <c r="B165" s="8"/>
      <c r="C165" s="8"/>
      <c r="D165" s="8"/>
      <c r="E165" s="8"/>
      <c r="F165" s="7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8"/>
      <c r="B166" s="8"/>
      <c r="C166" s="8"/>
      <c r="D166" s="8"/>
      <c r="E166" s="8"/>
      <c r="F166" s="7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8"/>
      <c r="B167" s="8"/>
      <c r="C167" s="8"/>
      <c r="D167" s="8"/>
      <c r="E167" s="8"/>
      <c r="F167" s="7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8"/>
      <c r="B168" s="8"/>
      <c r="C168" s="8"/>
      <c r="D168" s="8"/>
      <c r="E168" s="8"/>
      <c r="F168" s="7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8"/>
      <c r="B169" s="8"/>
      <c r="C169" s="8"/>
      <c r="D169" s="8"/>
      <c r="E169" s="8"/>
      <c r="F169" s="7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8"/>
      <c r="B170" s="8"/>
      <c r="C170" s="8"/>
      <c r="D170" s="8"/>
      <c r="E170" s="8"/>
      <c r="F170" s="7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8"/>
      <c r="B171" s="8"/>
      <c r="C171" s="8"/>
      <c r="D171" s="8"/>
      <c r="E171" s="8"/>
      <c r="F171" s="7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8"/>
      <c r="B172" s="8"/>
      <c r="C172" s="8"/>
      <c r="D172" s="8"/>
      <c r="E172" s="8"/>
      <c r="F172" s="7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8"/>
      <c r="B173" s="8"/>
      <c r="C173" s="8"/>
      <c r="D173" s="8"/>
      <c r="E173" s="8"/>
      <c r="F173" s="7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8"/>
      <c r="B174" s="8"/>
      <c r="C174" s="8"/>
      <c r="D174" s="8"/>
      <c r="E174" s="8"/>
      <c r="F174" s="7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8"/>
      <c r="B175" s="8"/>
      <c r="C175" s="8"/>
      <c r="D175" s="8"/>
      <c r="E175" s="8"/>
      <c r="F175" s="7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8"/>
      <c r="B176" s="8"/>
      <c r="C176" s="8"/>
      <c r="D176" s="8"/>
      <c r="E176" s="8"/>
      <c r="F176" s="7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8"/>
      <c r="B177" s="8"/>
      <c r="C177" s="8"/>
      <c r="D177" s="8"/>
      <c r="E177" s="8"/>
      <c r="F177" s="7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8"/>
      <c r="B178" s="8"/>
      <c r="C178" s="8"/>
      <c r="D178" s="8"/>
      <c r="E178" s="8"/>
      <c r="F178" s="7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8"/>
      <c r="B179" s="8"/>
      <c r="C179" s="8"/>
      <c r="D179" s="8"/>
      <c r="E179" s="8"/>
      <c r="F179" s="7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8"/>
      <c r="B180" s="8"/>
      <c r="C180" s="8"/>
      <c r="D180" s="8"/>
      <c r="E180" s="8"/>
      <c r="F180" s="7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8"/>
      <c r="B181" s="8"/>
      <c r="C181" s="8"/>
      <c r="D181" s="8"/>
      <c r="E181" s="8"/>
      <c r="F181" s="7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8"/>
      <c r="B182" s="8"/>
      <c r="C182" s="8"/>
      <c r="D182" s="8"/>
      <c r="E182" s="8"/>
      <c r="F182" s="7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8"/>
      <c r="B183" s="8"/>
      <c r="C183" s="8"/>
      <c r="D183" s="8"/>
      <c r="E183" s="8"/>
      <c r="F183" s="7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8"/>
      <c r="B184" s="8"/>
      <c r="C184" s="8"/>
      <c r="D184" s="8"/>
      <c r="E184" s="8"/>
      <c r="F184" s="7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8"/>
      <c r="B185" s="8"/>
      <c r="C185" s="8"/>
      <c r="D185" s="8"/>
      <c r="E185" s="8"/>
      <c r="F185" s="7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8"/>
      <c r="B186" s="8"/>
      <c r="C186" s="8"/>
      <c r="D186" s="8"/>
      <c r="E186" s="8"/>
      <c r="F186" s="7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8"/>
      <c r="B187" s="8"/>
      <c r="C187" s="8"/>
      <c r="D187" s="8"/>
      <c r="E187" s="8"/>
      <c r="F187" s="7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8"/>
      <c r="B188" s="8"/>
      <c r="C188" s="8"/>
      <c r="D188" s="8"/>
      <c r="E188" s="8"/>
      <c r="F188" s="7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8"/>
      <c r="B189" s="8"/>
      <c r="C189" s="8"/>
      <c r="D189" s="8"/>
      <c r="E189" s="8"/>
      <c r="F189" s="7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8"/>
      <c r="B190" s="8"/>
      <c r="C190" s="8"/>
      <c r="D190" s="8"/>
      <c r="E190" s="8"/>
      <c r="F190" s="7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8"/>
      <c r="B191" s="8"/>
      <c r="C191" s="8"/>
      <c r="D191" s="8"/>
      <c r="E191" s="8"/>
      <c r="F191" s="7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8"/>
      <c r="B192" s="8"/>
      <c r="C192" s="8"/>
      <c r="D192" s="8"/>
      <c r="E192" s="8"/>
      <c r="F192" s="7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8"/>
      <c r="B193" s="8"/>
      <c r="C193" s="8"/>
      <c r="D193" s="8"/>
      <c r="E193" s="8"/>
      <c r="F193" s="7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8"/>
      <c r="B194" s="8"/>
      <c r="C194" s="8"/>
      <c r="D194" s="8"/>
      <c r="E194" s="8"/>
      <c r="F194" s="7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8"/>
      <c r="B195" s="8"/>
      <c r="C195" s="8"/>
      <c r="D195" s="8"/>
      <c r="E195" s="8"/>
      <c r="F195" s="7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8"/>
      <c r="B196" s="8"/>
      <c r="C196" s="8"/>
      <c r="D196" s="8"/>
      <c r="E196" s="8"/>
      <c r="F196" s="7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8"/>
      <c r="B197" s="8"/>
      <c r="C197" s="8"/>
      <c r="D197" s="8"/>
      <c r="E197" s="8"/>
      <c r="F197" s="7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8"/>
      <c r="B198" s="8"/>
      <c r="C198" s="8"/>
      <c r="D198" s="8"/>
      <c r="E198" s="8"/>
      <c r="F198" s="7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8"/>
      <c r="B199" s="8"/>
      <c r="C199" s="8"/>
      <c r="D199" s="8"/>
      <c r="E199" s="8"/>
      <c r="F199" s="7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8"/>
      <c r="B200" s="8"/>
      <c r="C200" s="8"/>
      <c r="D200" s="8"/>
      <c r="E200" s="8"/>
      <c r="F200" s="7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8"/>
      <c r="B201" s="8"/>
      <c r="C201" s="8"/>
      <c r="D201" s="8"/>
      <c r="E201" s="8"/>
      <c r="F201" s="7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8"/>
      <c r="B202" s="8"/>
      <c r="C202" s="8"/>
      <c r="D202" s="8"/>
      <c r="E202" s="8"/>
      <c r="F202" s="7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8"/>
      <c r="B203" s="8"/>
      <c r="C203" s="8"/>
      <c r="D203" s="8"/>
      <c r="E203" s="8"/>
      <c r="F203" s="7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8"/>
      <c r="B204" s="8"/>
      <c r="C204" s="8"/>
      <c r="D204" s="8"/>
      <c r="E204" s="8"/>
      <c r="F204" s="7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SETUP!$B$5:$B$9</xm:f>
          </x14:formula1>
          <xm:sqref>D5:D204</xm:sqref>
        </x14:dataValidation>
        <x14:dataValidation type="list" xr:uid="{00000000-0002-0000-0200-000001000000}">
          <x14:formula1>
            <xm:f>SETUP!$D$5:$D$6</xm:f>
          </x14:formula1>
          <xm:sqref>G5:G204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0"/>
  <sheetViews>
    <sheetView workbookViewId="0">
      <selection sqref="A1:J1"/>
    </sheetView>
  </sheetViews>
  <sheetFormatPr defaultRowHeight="14.25"/>
  <cols>
    <col min="1" max="1" width="25" customWidth="1"/>
    <col min="2" max="2" width="18" customWidth="1"/>
    <col min="3" max="3" width="24" customWidth="1"/>
    <col min="4" max="4" width="18" customWidth="1"/>
    <col min="5" max="7" width="12" customWidth="1"/>
    <col min="8" max="9" width="14" customWidth="1"/>
    <col min="10" max="10" width="36" customWidth="1"/>
  </cols>
  <sheetData>
    <row r="1" spans="1:26" ht="33.950000000000003" customHeight="1">
      <c r="A1" s="14" t="s">
        <v>108</v>
      </c>
      <c r="B1" s="10"/>
      <c r="C1" s="10"/>
      <c r="D1" s="10"/>
      <c r="E1" s="10"/>
      <c r="F1" s="10"/>
      <c r="G1" s="10"/>
      <c r="H1" s="10"/>
      <c r="I1" s="10"/>
      <c r="J1" s="1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109</v>
      </c>
      <c r="B2" s="10"/>
      <c r="C2" s="10"/>
      <c r="D2" s="10"/>
      <c r="E2" s="10"/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42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  <c r="H4" s="1" t="s">
        <v>90</v>
      </c>
      <c r="I4" s="1" t="s">
        <v>91</v>
      </c>
      <c r="J4" s="1" t="s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">
        <v>54</v>
      </c>
      <c r="B5" s="8" t="s">
        <v>116</v>
      </c>
      <c r="C5" s="8" t="s">
        <v>117</v>
      </c>
      <c r="D5" s="8" t="s">
        <v>93</v>
      </c>
      <c r="E5" s="8" t="s">
        <v>96</v>
      </c>
      <c r="F5" s="8" t="s">
        <v>96</v>
      </c>
      <c r="G5" s="8" t="s">
        <v>101</v>
      </c>
      <c r="H5" s="8" t="s">
        <v>95</v>
      </c>
      <c r="I5" s="7">
        <v>46190</v>
      </c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">
        <v>54</v>
      </c>
      <c r="B6" s="8" t="s">
        <v>118</v>
      </c>
      <c r="C6" s="8" t="s">
        <v>119</v>
      </c>
      <c r="D6" s="8"/>
      <c r="E6" s="8" t="s">
        <v>101</v>
      </c>
      <c r="F6" s="8" t="s">
        <v>96</v>
      </c>
      <c r="G6" s="8" t="s">
        <v>101</v>
      </c>
      <c r="H6" s="8" t="s">
        <v>95</v>
      </c>
      <c r="I6" s="7">
        <v>46190</v>
      </c>
      <c r="J6" s="8" t="s">
        <v>120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64</v>
      </c>
      <c r="B7" s="8" t="s">
        <v>116</v>
      </c>
      <c r="C7" s="8" t="s">
        <v>121</v>
      </c>
      <c r="D7" s="8" t="s">
        <v>99</v>
      </c>
      <c r="E7" s="8" t="s">
        <v>96</v>
      </c>
      <c r="F7" s="8" t="s">
        <v>96</v>
      </c>
      <c r="G7" s="8" t="s">
        <v>101</v>
      </c>
      <c r="H7" s="8" t="s">
        <v>66</v>
      </c>
      <c r="I7" s="7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64</v>
      </c>
      <c r="B8" s="8" t="s">
        <v>122</v>
      </c>
      <c r="C8" s="8" t="s">
        <v>123</v>
      </c>
      <c r="D8" s="8" t="s">
        <v>104</v>
      </c>
      <c r="E8" s="8" t="s">
        <v>96</v>
      </c>
      <c r="F8" s="8" t="s">
        <v>96</v>
      </c>
      <c r="G8" s="8" t="s">
        <v>101</v>
      </c>
      <c r="H8" s="8" t="s">
        <v>66</v>
      </c>
      <c r="I8" s="7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/>
      <c r="B9" s="8"/>
      <c r="C9" s="8"/>
      <c r="D9" s="8"/>
      <c r="E9" s="8"/>
      <c r="F9" s="8"/>
      <c r="G9" s="8"/>
      <c r="H9" s="8"/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/>
      <c r="B10" s="8"/>
      <c r="C10" s="8"/>
      <c r="D10" s="8"/>
      <c r="E10" s="8"/>
      <c r="F10" s="8"/>
      <c r="G10" s="8"/>
      <c r="H10" s="8"/>
      <c r="I10" s="7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/>
      <c r="B11" s="8"/>
      <c r="C11" s="8"/>
      <c r="D11" s="8"/>
      <c r="E11" s="8"/>
      <c r="F11" s="8"/>
      <c r="G11" s="8"/>
      <c r="H11" s="8"/>
      <c r="I11" s="7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/>
      <c r="B12" s="8"/>
      <c r="C12" s="8"/>
      <c r="D12" s="8"/>
      <c r="E12" s="8"/>
      <c r="F12" s="8"/>
      <c r="G12" s="8"/>
      <c r="H12" s="8"/>
      <c r="I12" s="7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/>
      <c r="B13" s="8"/>
      <c r="C13" s="8"/>
      <c r="D13" s="8"/>
      <c r="E13" s="8"/>
      <c r="F13" s="8"/>
      <c r="G13" s="8"/>
      <c r="H13" s="8"/>
      <c r="I13" s="7"/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/>
      <c r="B14" s="8"/>
      <c r="C14" s="8"/>
      <c r="D14" s="8"/>
      <c r="E14" s="8"/>
      <c r="F14" s="8"/>
      <c r="G14" s="8"/>
      <c r="H14" s="8"/>
      <c r="I14" s="7"/>
      <c r="J14" s="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/>
      <c r="B15" s="8"/>
      <c r="C15" s="8"/>
      <c r="D15" s="8"/>
      <c r="E15" s="8"/>
      <c r="F15" s="8"/>
      <c r="G15" s="8"/>
      <c r="H15" s="8"/>
      <c r="I15" s="7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/>
      <c r="B16" s="8"/>
      <c r="C16" s="8"/>
      <c r="D16" s="8"/>
      <c r="E16" s="8"/>
      <c r="F16" s="8"/>
      <c r="G16" s="8"/>
      <c r="H16" s="8"/>
      <c r="I16" s="7"/>
      <c r="J16" s="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/>
      <c r="B17" s="8"/>
      <c r="C17" s="8"/>
      <c r="D17" s="8"/>
      <c r="E17" s="8"/>
      <c r="F17" s="8"/>
      <c r="G17" s="8"/>
      <c r="H17" s="8"/>
      <c r="I17" s="7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/>
      <c r="B18" s="8"/>
      <c r="C18" s="8"/>
      <c r="D18" s="8"/>
      <c r="E18" s="8"/>
      <c r="F18" s="8"/>
      <c r="G18" s="8"/>
      <c r="H18" s="8"/>
      <c r="I18" s="7"/>
      <c r="J18" s="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/>
      <c r="B19" s="8"/>
      <c r="C19" s="8"/>
      <c r="D19" s="8"/>
      <c r="E19" s="8"/>
      <c r="F19" s="8"/>
      <c r="G19" s="8"/>
      <c r="H19" s="8"/>
      <c r="I19" s="7"/>
      <c r="J19" s="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/>
      <c r="B20" s="8"/>
      <c r="C20" s="8"/>
      <c r="D20" s="8"/>
      <c r="E20" s="8"/>
      <c r="F20" s="8"/>
      <c r="G20" s="8"/>
      <c r="H20" s="8"/>
      <c r="I20" s="7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/>
      <c r="B21" s="8"/>
      <c r="C21" s="8"/>
      <c r="D21" s="8"/>
      <c r="E21" s="8"/>
      <c r="F21" s="8"/>
      <c r="G21" s="8"/>
      <c r="H21" s="8"/>
      <c r="I21" s="7"/>
      <c r="J21" s="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/>
      <c r="B22" s="8"/>
      <c r="C22" s="8"/>
      <c r="D22" s="8"/>
      <c r="E22" s="8"/>
      <c r="F22" s="8"/>
      <c r="G22" s="8"/>
      <c r="H22" s="8"/>
      <c r="I22" s="7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/>
      <c r="B23" s="8"/>
      <c r="C23" s="8"/>
      <c r="D23" s="8"/>
      <c r="E23" s="8"/>
      <c r="F23" s="8"/>
      <c r="G23" s="8"/>
      <c r="H23" s="8"/>
      <c r="I23" s="7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/>
      <c r="B24" s="8"/>
      <c r="C24" s="8"/>
      <c r="D24" s="8"/>
      <c r="E24" s="8"/>
      <c r="F24" s="8"/>
      <c r="G24" s="8"/>
      <c r="H24" s="8"/>
      <c r="I24" s="7"/>
      <c r="J24" s="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/>
      <c r="B25" s="8"/>
      <c r="C25" s="8"/>
      <c r="D25" s="8"/>
      <c r="E25" s="8"/>
      <c r="F25" s="8"/>
      <c r="G25" s="8"/>
      <c r="H25" s="8"/>
      <c r="I25" s="7"/>
      <c r="J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/>
      <c r="B26" s="8"/>
      <c r="C26" s="8"/>
      <c r="D26" s="8"/>
      <c r="E26" s="8"/>
      <c r="F26" s="8"/>
      <c r="G26" s="8"/>
      <c r="H26" s="8"/>
      <c r="I26" s="7"/>
      <c r="J26" s="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/>
      <c r="B27" s="8"/>
      <c r="C27" s="8"/>
      <c r="D27" s="8"/>
      <c r="E27" s="8"/>
      <c r="F27" s="8"/>
      <c r="G27" s="8"/>
      <c r="H27" s="8"/>
      <c r="I27" s="7"/>
      <c r="J27" s="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/>
      <c r="B28" s="8"/>
      <c r="C28" s="8"/>
      <c r="D28" s="8"/>
      <c r="E28" s="8"/>
      <c r="F28" s="8"/>
      <c r="G28" s="8"/>
      <c r="H28" s="8"/>
      <c r="I28" s="7"/>
      <c r="J28" s="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/>
      <c r="B29" s="8"/>
      <c r="C29" s="8"/>
      <c r="D29" s="8"/>
      <c r="E29" s="8"/>
      <c r="F29" s="8"/>
      <c r="G29" s="8"/>
      <c r="H29" s="8"/>
      <c r="I29" s="7"/>
      <c r="J29" s="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/>
      <c r="B30" s="8"/>
      <c r="C30" s="8"/>
      <c r="D30" s="8"/>
      <c r="E30" s="8"/>
      <c r="F30" s="8"/>
      <c r="G30" s="8"/>
      <c r="H30" s="8"/>
      <c r="I30" s="7"/>
      <c r="J30" s="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/>
      <c r="B31" s="8"/>
      <c r="C31" s="8"/>
      <c r="D31" s="8"/>
      <c r="E31" s="8"/>
      <c r="F31" s="8"/>
      <c r="G31" s="8"/>
      <c r="H31" s="8"/>
      <c r="I31" s="7"/>
      <c r="J31" s="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/>
      <c r="B32" s="8"/>
      <c r="C32" s="8"/>
      <c r="D32" s="8"/>
      <c r="E32" s="8"/>
      <c r="F32" s="8"/>
      <c r="G32" s="8"/>
      <c r="H32" s="8"/>
      <c r="I32" s="7"/>
      <c r="J32" s="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/>
      <c r="B33" s="8"/>
      <c r="C33" s="8"/>
      <c r="D33" s="8"/>
      <c r="E33" s="8"/>
      <c r="F33" s="8"/>
      <c r="G33" s="8"/>
      <c r="H33" s="8"/>
      <c r="I33" s="7"/>
      <c r="J33" s="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/>
      <c r="B34" s="8"/>
      <c r="C34" s="8"/>
      <c r="D34" s="8"/>
      <c r="E34" s="8"/>
      <c r="F34" s="8"/>
      <c r="G34" s="8"/>
      <c r="H34" s="8"/>
      <c r="I34" s="7"/>
      <c r="J34" s="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/>
      <c r="B35" s="8"/>
      <c r="C35" s="8"/>
      <c r="D35" s="8"/>
      <c r="E35" s="8"/>
      <c r="F35" s="8"/>
      <c r="G35" s="8"/>
      <c r="H35" s="8"/>
      <c r="I35" s="7"/>
      <c r="J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/>
      <c r="B36" s="8"/>
      <c r="C36" s="8"/>
      <c r="D36" s="8"/>
      <c r="E36" s="8"/>
      <c r="F36" s="8"/>
      <c r="G36" s="8"/>
      <c r="H36" s="8"/>
      <c r="I36" s="7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/>
      <c r="B37" s="8"/>
      <c r="C37" s="8"/>
      <c r="D37" s="8"/>
      <c r="E37" s="8"/>
      <c r="F37" s="8"/>
      <c r="G37" s="8"/>
      <c r="H37" s="8"/>
      <c r="I37" s="7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/>
      <c r="B38" s="8"/>
      <c r="C38" s="8"/>
      <c r="D38" s="8"/>
      <c r="E38" s="8"/>
      <c r="F38" s="8"/>
      <c r="G38" s="8"/>
      <c r="H38" s="8"/>
      <c r="I38" s="7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/>
      <c r="B39" s="8"/>
      <c r="C39" s="8"/>
      <c r="D39" s="8"/>
      <c r="E39" s="8"/>
      <c r="F39" s="8"/>
      <c r="G39" s="8"/>
      <c r="H39" s="8"/>
      <c r="I39" s="7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/>
      <c r="B40" s="8"/>
      <c r="C40" s="8"/>
      <c r="D40" s="8"/>
      <c r="E40" s="8"/>
      <c r="F40" s="8"/>
      <c r="G40" s="8"/>
      <c r="H40" s="8"/>
      <c r="I40" s="7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/>
      <c r="B41" s="8"/>
      <c r="C41" s="8"/>
      <c r="D41" s="8"/>
      <c r="E41" s="8"/>
      <c r="F41" s="8"/>
      <c r="G41" s="8"/>
      <c r="H41" s="8"/>
      <c r="I41" s="7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/>
      <c r="B42" s="8"/>
      <c r="C42" s="8"/>
      <c r="D42" s="8"/>
      <c r="E42" s="8"/>
      <c r="F42" s="8"/>
      <c r="G42" s="8"/>
      <c r="H42" s="8"/>
      <c r="I42" s="7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/>
      <c r="B43" s="8"/>
      <c r="C43" s="8"/>
      <c r="D43" s="8"/>
      <c r="E43" s="8"/>
      <c r="F43" s="8"/>
      <c r="G43" s="8"/>
      <c r="H43" s="8"/>
      <c r="I43" s="7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/>
      <c r="B44" s="8"/>
      <c r="C44" s="8"/>
      <c r="D44" s="8"/>
      <c r="E44" s="8"/>
      <c r="F44" s="8"/>
      <c r="G44" s="8"/>
      <c r="H44" s="8"/>
      <c r="I44" s="7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/>
      <c r="B45" s="8"/>
      <c r="C45" s="8"/>
      <c r="D45" s="8"/>
      <c r="E45" s="8"/>
      <c r="F45" s="8"/>
      <c r="G45" s="8"/>
      <c r="H45" s="8"/>
      <c r="I45" s="7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/>
      <c r="B46" s="8"/>
      <c r="C46" s="8"/>
      <c r="D46" s="8"/>
      <c r="E46" s="8"/>
      <c r="F46" s="8"/>
      <c r="G46" s="8"/>
      <c r="H46" s="8"/>
      <c r="I46" s="7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/>
      <c r="B47" s="8"/>
      <c r="C47" s="8"/>
      <c r="D47" s="8"/>
      <c r="E47" s="8"/>
      <c r="F47" s="8"/>
      <c r="G47" s="8"/>
      <c r="H47" s="8"/>
      <c r="I47" s="7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/>
      <c r="B48" s="8"/>
      <c r="C48" s="8"/>
      <c r="D48" s="8"/>
      <c r="E48" s="8"/>
      <c r="F48" s="8"/>
      <c r="G48" s="8"/>
      <c r="H48" s="8"/>
      <c r="I48" s="7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/>
      <c r="B49" s="8"/>
      <c r="C49" s="8"/>
      <c r="D49" s="8"/>
      <c r="E49" s="8"/>
      <c r="F49" s="8"/>
      <c r="G49" s="8"/>
      <c r="H49" s="8"/>
      <c r="I49" s="7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/>
      <c r="B50" s="8"/>
      <c r="C50" s="8"/>
      <c r="D50" s="8"/>
      <c r="E50" s="8"/>
      <c r="F50" s="8"/>
      <c r="G50" s="8"/>
      <c r="H50" s="8"/>
      <c r="I50" s="7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/>
      <c r="B51" s="8"/>
      <c r="C51" s="8"/>
      <c r="D51" s="8"/>
      <c r="E51" s="8"/>
      <c r="F51" s="8"/>
      <c r="G51" s="8"/>
      <c r="H51" s="8"/>
      <c r="I51" s="7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/>
      <c r="B52" s="8"/>
      <c r="C52" s="8"/>
      <c r="D52" s="8"/>
      <c r="E52" s="8"/>
      <c r="F52" s="8"/>
      <c r="G52" s="8"/>
      <c r="H52" s="8"/>
      <c r="I52" s="7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/>
      <c r="B53" s="8"/>
      <c r="C53" s="8"/>
      <c r="D53" s="8"/>
      <c r="E53" s="8"/>
      <c r="F53" s="8"/>
      <c r="G53" s="8"/>
      <c r="H53" s="8"/>
      <c r="I53" s="7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/>
      <c r="B54" s="8"/>
      <c r="C54" s="8"/>
      <c r="D54" s="8"/>
      <c r="E54" s="8"/>
      <c r="F54" s="8"/>
      <c r="G54" s="8"/>
      <c r="H54" s="8"/>
      <c r="I54" s="7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/>
      <c r="B55" s="8"/>
      <c r="C55" s="8"/>
      <c r="D55" s="8"/>
      <c r="E55" s="8"/>
      <c r="F55" s="8"/>
      <c r="G55" s="8"/>
      <c r="H55" s="8"/>
      <c r="I55" s="7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/>
      <c r="B56" s="8"/>
      <c r="C56" s="8"/>
      <c r="D56" s="8"/>
      <c r="E56" s="8"/>
      <c r="F56" s="8"/>
      <c r="G56" s="8"/>
      <c r="H56" s="8"/>
      <c r="I56" s="7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/>
      <c r="B57" s="8"/>
      <c r="C57" s="8"/>
      <c r="D57" s="8"/>
      <c r="E57" s="8"/>
      <c r="F57" s="8"/>
      <c r="G57" s="8"/>
      <c r="H57" s="8"/>
      <c r="I57" s="7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/>
      <c r="B58" s="8"/>
      <c r="C58" s="8"/>
      <c r="D58" s="8"/>
      <c r="E58" s="8"/>
      <c r="F58" s="8"/>
      <c r="G58" s="8"/>
      <c r="H58" s="8"/>
      <c r="I58" s="7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8"/>
      <c r="B59" s="8"/>
      <c r="C59" s="8"/>
      <c r="D59" s="8"/>
      <c r="E59" s="8"/>
      <c r="F59" s="8"/>
      <c r="G59" s="8"/>
      <c r="H59" s="8"/>
      <c r="I59" s="7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8"/>
      <c r="B60" s="8"/>
      <c r="C60" s="8"/>
      <c r="D60" s="8"/>
      <c r="E60" s="8"/>
      <c r="F60" s="8"/>
      <c r="G60" s="8"/>
      <c r="H60" s="8"/>
      <c r="I60" s="7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8"/>
      <c r="B61" s="8"/>
      <c r="C61" s="8"/>
      <c r="D61" s="8"/>
      <c r="E61" s="8"/>
      <c r="F61" s="8"/>
      <c r="G61" s="8"/>
      <c r="H61" s="8"/>
      <c r="I61" s="7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8"/>
      <c r="B62" s="8"/>
      <c r="C62" s="8"/>
      <c r="D62" s="8"/>
      <c r="E62" s="8"/>
      <c r="F62" s="8"/>
      <c r="G62" s="8"/>
      <c r="H62" s="8"/>
      <c r="I62" s="7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8"/>
      <c r="B63" s="8"/>
      <c r="C63" s="8"/>
      <c r="D63" s="8"/>
      <c r="E63" s="8"/>
      <c r="F63" s="8"/>
      <c r="G63" s="8"/>
      <c r="H63" s="8"/>
      <c r="I63" s="7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/>
      <c r="B64" s="8"/>
      <c r="C64" s="8"/>
      <c r="D64" s="8"/>
      <c r="E64" s="8"/>
      <c r="F64" s="8"/>
      <c r="G64" s="8"/>
      <c r="H64" s="8"/>
      <c r="I64" s="7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/>
      <c r="B65" s="8"/>
      <c r="C65" s="8"/>
      <c r="D65" s="8"/>
      <c r="E65" s="8"/>
      <c r="F65" s="8"/>
      <c r="G65" s="8"/>
      <c r="H65" s="8"/>
      <c r="I65" s="7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/>
      <c r="B66" s="8"/>
      <c r="C66" s="8"/>
      <c r="D66" s="8"/>
      <c r="E66" s="8"/>
      <c r="F66" s="8"/>
      <c r="G66" s="8"/>
      <c r="H66" s="8"/>
      <c r="I66" s="7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/>
      <c r="B67" s="8"/>
      <c r="C67" s="8"/>
      <c r="D67" s="8"/>
      <c r="E67" s="8"/>
      <c r="F67" s="8"/>
      <c r="G67" s="8"/>
      <c r="H67" s="8"/>
      <c r="I67" s="7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/>
      <c r="B68" s="8"/>
      <c r="C68" s="8"/>
      <c r="D68" s="8"/>
      <c r="E68" s="8"/>
      <c r="F68" s="8"/>
      <c r="G68" s="8"/>
      <c r="H68" s="8"/>
      <c r="I68" s="7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/>
      <c r="B69" s="8"/>
      <c r="C69" s="8"/>
      <c r="D69" s="8"/>
      <c r="E69" s="8"/>
      <c r="F69" s="8"/>
      <c r="G69" s="8"/>
      <c r="H69" s="8"/>
      <c r="I69" s="7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/>
      <c r="B70" s="8"/>
      <c r="C70" s="8"/>
      <c r="D70" s="8"/>
      <c r="E70" s="8"/>
      <c r="F70" s="8"/>
      <c r="G70" s="8"/>
      <c r="H70" s="8"/>
      <c r="I70" s="7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/>
      <c r="B71" s="8"/>
      <c r="C71" s="8"/>
      <c r="D71" s="8"/>
      <c r="E71" s="8"/>
      <c r="F71" s="8"/>
      <c r="G71" s="8"/>
      <c r="H71" s="8"/>
      <c r="I71" s="7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/>
      <c r="B72" s="8"/>
      <c r="C72" s="8"/>
      <c r="D72" s="8"/>
      <c r="E72" s="8"/>
      <c r="F72" s="8"/>
      <c r="G72" s="8"/>
      <c r="H72" s="8"/>
      <c r="I72" s="7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8"/>
      <c r="B73" s="8"/>
      <c r="C73" s="8"/>
      <c r="D73" s="8"/>
      <c r="E73" s="8"/>
      <c r="F73" s="8"/>
      <c r="G73" s="8"/>
      <c r="H73" s="8"/>
      <c r="I73" s="7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8"/>
      <c r="B74" s="8"/>
      <c r="C74" s="8"/>
      <c r="D74" s="8"/>
      <c r="E74" s="8"/>
      <c r="F74" s="8"/>
      <c r="G74" s="8"/>
      <c r="H74" s="8"/>
      <c r="I74" s="7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8"/>
      <c r="B75" s="8"/>
      <c r="C75" s="8"/>
      <c r="D75" s="8"/>
      <c r="E75" s="8"/>
      <c r="F75" s="8"/>
      <c r="G75" s="8"/>
      <c r="H75" s="8"/>
      <c r="I75" s="7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8"/>
      <c r="B76" s="8"/>
      <c r="C76" s="8"/>
      <c r="D76" s="8"/>
      <c r="E76" s="8"/>
      <c r="F76" s="8"/>
      <c r="G76" s="8"/>
      <c r="H76" s="8"/>
      <c r="I76" s="7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8"/>
      <c r="B77" s="8"/>
      <c r="C77" s="8"/>
      <c r="D77" s="8"/>
      <c r="E77" s="8"/>
      <c r="F77" s="8"/>
      <c r="G77" s="8"/>
      <c r="H77" s="8"/>
      <c r="I77" s="7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8"/>
      <c r="B78" s="8"/>
      <c r="C78" s="8"/>
      <c r="D78" s="8"/>
      <c r="E78" s="8"/>
      <c r="F78" s="8"/>
      <c r="G78" s="8"/>
      <c r="H78" s="8"/>
      <c r="I78" s="7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8"/>
      <c r="B79" s="8"/>
      <c r="C79" s="8"/>
      <c r="D79" s="8"/>
      <c r="E79" s="8"/>
      <c r="F79" s="8"/>
      <c r="G79" s="8"/>
      <c r="H79" s="8"/>
      <c r="I79" s="7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/>
      <c r="B80" s="8"/>
      <c r="C80" s="8"/>
      <c r="D80" s="8"/>
      <c r="E80" s="8"/>
      <c r="F80" s="8"/>
      <c r="G80" s="8"/>
      <c r="H80" s="8"/>
      <c r="I80" s="7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8"/>
      <c r="B81" s="8"/>
      <c r="C81" s="8"/>
      <c r="D81" s="8"/>
      <c r="E81" s="8"/>
      <c r="F81" s="8"/>
      <c r="G81" s="8"/>
      <c r="H81" s="8"/>
      <c r="I81" s="7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8"/>
      <c r="B82" s="8"/>
      <c r="C82" s="8"/>
      <c r="D82" s="8"/>
      <c r="E82" s="8"/>
      <c r="F82" s="8"/>
      <c r="G82" s="8"/>
      <c r="H82" s="8"/>
      <c r="I82" s="7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8"/>
      <c r="B83" s="8"/>
      <c r="C83" s="8"/>
      <c r="D83" s="8"/>
      <c r="E83" s="8"/>
      <c r="F83" s="8"/>
      <c r="G83" s="8"/>
      <c r="H83" s="8"/>
      <c r="I83" s="7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8"/>
      <c r="B84" s="8"/>
      <c r="C84" s="8"/>
      <c r="D84" s="8"/>
      <c r="E84" s="8"/>
      <c r="F84" s="8"/>
      <c r="G84" s="8"/>
      <c r="H84" s="8"/>
      <c r="I84" s="7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8"/>
      <c r="B85" s="8"/>
      <c r="C85" s="8"/>
      <c r="D85" s="8"/>
      <c r="E85" s="8"/>
      <c r="F85" s="8"/>
      <c r="G85" s="8"/>
      <c r="H85" s="8"/>
      <c r="I85" s="7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8"/>
      <c r="B86" s="8"/>
      <c r="C86" s="8"/>
      <c r="D86" s="8"/>
      <c r="E86" s="8"/>
      <c r="F86" s="8"/>
      <c r="G86" s="8"/>
      <c r="H86" s="8"/>
      <c r="I86" s="7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8"/>
      <c r="B87" s="8"/>
      <c r="C87" s="8"/>
      <c r="D87" s="8"/>
      <c r="E87" s="8"/>
      <c r="F87" s="8"/>
      <c r="G87" s="8"/>
      <c r="H87" s="8"/>
      <c r="I87" s="7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8"/>
      <c r="B88" s="8"/>
      <c r="C88" s="8"/>
      <c r="D88" s="8"/>
      <c r="E88" s="8"/>
      <c r="F88" s="8"/>
      <c r="G88" s="8"/>
      <c r="H88" s="8"/>
      <c r="I88" s="7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8"/>
      <c r="B89" s="8"/>
      <c r="C89" s="8"/>
      <c r="D89" s="8"/>
      <c r="E89" s="8"/>
      <c r="F89" s="8"/>
      <c r="G89" s="8"/>
      <c r="H89" s="8"/>
      <c r="I89" s="7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8"/>
      <c r="B90" s="8"/>
      <c r="C90" s="8"/>
      <c r="D90" s="8"/>
      <c r="E90" s="8"/>
      <c r="F90" s="8"/>
      <c r="G90" s="8"/>
      <c r="H90" s="8"/>
      <c r="I90" s="7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8"/>
      <c r="B91" s="8"/>
      <c r="C91" s="8"/>
      <c r="D91" s="8"/>
      <c r="E91" s="8"/>
      <c r="F91" s="8"/>
      <c r="G91" s="8"/>
      <c r="H91" s="8"/>
      <c r="I91" s="7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8"/>
      <c r="B92" s="8"/>
      <c r="C92" s="8"/>
      <c r="D92" s="8"/>
      <c r="E92" s="8"/>
      <c r="F92" s="8"/>
      <c r="G92" s="8"/>
      <c r="H92" s="8"/>
      <c r="I92" s="7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8"/>
      <c r="B93" s="8"/>
      <c r="C93" s="8"/>
      <c r="D93" s="8"/>
      <c r="E93" s="8"/>
      <c r="F93" s="8"/>
      <c r="G93" s="8"/>
      <c r="H93" s="8"/>
      <c r="I93" s="7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8"/>
      <c r="B94" s="8"/>
      <c r="C94" s="8"/>
      <c r="D94" s="8"/>
      <c r="E94" s="8"/>
      <c r="F94" s="8"/>
      <c r="G94" s="8"/>
      <c r="H94" s="8"/>
      <c r="I94" s="7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8"/>
      <c r="B95" s="8"/>
      <c r="C95" s="8"/>
      <c r="D95" s="8"/>
      <c r="E95" s="8"/>
      <c r="F95" s="8"/>
      <c r="G95" s="8"/>
      <c r="H95" s="8"/>
      <c r="I95" s="7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8"/>
      <c r="B96" s="8"/>
      <c r="C96" s="8"/>
      <c r="D96" s="8"/>
      <c r="E96" s="8"/>
      <c r="F96" s="8"/>
      <c r="G96" s="8"/>
      <c r="H96" s="8"/>
      <c r="I96" s="7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8"/>
      <c r="B97" s="8"/>
      <c r="C97" s="8"/>
      <c r="D97" s="8"/>
      <c r="E97" s="8"/>
      <c r="F97" s="8"/>
      <c r="G97" s="8"/>
      <c r="H97" s="8"/>
      <c r="I97" s="7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8"/>
      <c r="B98" s="8"/>
      <c r="C98" s="8"/>
      <c r="D98" s="8"/>
      <c r="E98" s="8"/>
      <c r="F98" s="8"/>
      <c r="G98" s="8"/>
      <c r="H98" s="8"/>
      <c r="I98" s="7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8"/>
      <c r="B99" s="8"/>
      <c r="C99" s="8"/>
      <c r="D99" s="8"/>
      <c r="E99" s="8"/>
      <c r="F99" s="8"/>
      <c r="G99" s="8"/>
      <c r="H99" s="8"/>
      <c r="I99" s="7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8"/>
      <c r="B100" s="8"/>
      <c r="C100" s="8"/>
      <c r="D100" s="8"/>
      <c r="E100" s="8"/>
      <c r="F100" s="8"/>
      <c r="G100" s="8"/>
      <c r="H100" s="8"/>
      <c r="I100" s="7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/>
      <c r="B101" s="8"/>
      <c r="C101" s="8"/>
      <c r="D101" s="8"/>
      <c r="E101" s="8"/>
      <c r="F101" s="8"/>
      <c r="G101" s="8"/>
      <c r="H101" s="8"/>
      <c r="I101" s="7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/>
      <c r="B102" s="8"/>
      <c r="C102" s="8"/>
      <c r="D102" s="8"/>
      <c r="E102" s="8"/>
      <c r="F102" s="8"/>
      <c r="G102" s="8"/>
      <c r="H102" s="8"/>
      <c r="I102" s="7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/>
      <c r="B103" s="8"/>
      <c r="C103" s="8"/>
      <c r="D103" s="8"/>
      <c r="E103" s="8"/>
      <c r="F103" s="8"/>
      <c r="G103" s="8"/>
      <c r="H103" s="8"/>
      <c r="I103" s="7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/>
      <c r="B104" s="8"/>
      <c r="C104" s="8"/>
      <c r="D104" s="8"/>
      <c r="E104" s="8"/>
      <c r="F104" s="8"/>
      <c r="G104" s="8"/>
      <c r="H104" s="8"/>
      <c r="I104" s="7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8"/>
      <c r="B105" s="8"/>
      <c r="C105" s="8"/>
      <c r="D105" s="8"/>
      <c r="E105" s="8"/>
      <c r="F105" s="8"/>
      <c r="G105" s="8"/>
      <c r="H105" s="8"/>
      <c r="I105" s="7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8"/>
      <c r="B106" s="8"/>
      <c r="C106" s="8"/>
      <c r="D106" s="8"/>
      <c r="E106" s="8"/>
      <c r="F106" s="8"/>
      <c r="G106" s="8"/>
      <c r="H106" s="8"/>
      <c r="I106" s="7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8"/>
      <c r="B107" s="8"/>
      <c r="C107" s="8"/>
      <c r="D107" s="8"/>
      <c r="E107" s="8"/>
      <c r="F107" s="8"/>
      <c r="G107" s="8"/>
      <c r="H107" s="8"/>
      <c r="I107" s="7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8"/>
      <c r="B108" s="8"/>
      <c r="C108" s="8"/>
      <c r="D108" s="8"/>
      <c r="E108" s="8"/>
      <c r="F108" s="8"/>
      <c r="G108" s="8"/>
      <c r="H108" s="8"/>
      <c r="I108" s="7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8"/>
      <c r="B109" s="8"/>
      <c r="C109" s="8"/>
      <c r="D109" s="8"/>
      <c r="E109" s="8"/>
      <c r="F109" s="8"/>
      <c r="G109" s="8"/>
      <c r="H109" s="8"/>
      <c r="I109" s="7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8"/>
      <c r="B110" s="8"/>
      <c r="C110" s="8"/>
      <c r="D110" s="8"/>
      <c r="E110" s="8"/>
      <c r="F110" s="8"/>
      <c r="G110" s="8"/>
      <c r="H110" s="8"/>
      <c r="I110" s="7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8"/>
      <c r="B111" s="8"/>
      <c r="C111" s="8"/>
      <c r="D111" s="8"/>
      <c r="E111" s="8"/>
      <c r="F111" s="8"/>
      <c r="G111" s="8"/>
      <c r="H111" s="8"/>
      <c r="I111" s="7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8"/>
      <c r="B112" s="8"/>
      <c r="C112" s="8"/>
      <c r="D112" s="8"/>
      <c r="E112" s="8"/>
      <c r="F112" s="8"/>
      <c r="G112" s="8"/>
      <c r="H112" s="8"/>
      <c r="I112" s="7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8"/>
      <c r="B113" s="8"/>
      <c r="C113" s="8"/>
      <c r="D113" s="8"/>
      <c r="E113" s="8"/>
      <c r="F113" s="8"/>
      <c r="G113" s="8"/>
      <c r="H113" s="8"/>
      <c r="I113" s="7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8"/>
      <c r="B114" s="8"/>
      <c r="C114" s="8"/>
      <c r="D114" s="8"/>
      <c r="E114" s="8"/>
      <c r="F114" s="8"/>
      <c r="G114" s="8"/>
      <c r="H114" s="8"/>
      <c r="I114" s="7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8"/>
      <c r="B115" s="8"/>
      <c r="C115" s="8"/>
      <c r="D115" s="8"/>
      <c r="E115" s="8"/>
      <c r="F115" s="8"/>
      <c r="G115" s="8"/>
      <c r="H115" s="8"/>
      <c r="I115" s="7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8"/>
      <c r="B116" s="8"/>
      <c r="C116" s="8"/>
      <c r="D116" s="8"/>
      <c r="E116" s="8"/>
      <c r="F116" s="8"/>
      <c r="G116" s="8"/>
      <c r="H116" s="8"/>
      <c r="I116" s="7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8"/>
      <c r="B117" s="8"/>
      <c r="C117" s="8"/>
      <c r="D117" s="8"/>
      <c r="E117" s="8"/>
      <c r="F117" s="8"/>
      <c r="G117" s="8"/>
      <c r="H117" s="8"/>
      <c r="I117" s="7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8"/>
      <c r="B118" s="8"/>
      <c r="C118" s="8"/>
      <c r="D118" s="8"/>
      <c r="E118" s="8"/>
      <c r="F118" s="8"/>
      <c r="G118" s="8"/>
      <c r="H118" s="8"/>
      <c r="I118" s="7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8"/>
      <c r="B119" s="8"/>
      <c r="C119" s="8"/>
      <c r="D119" s="8"/>
      <c r="E119" s="8"/>
      <c r="F119" s="8"/>
      <c r="G119" s="8"/>
      <c r="H119" s="8"/>
      <c r="I119" s="7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8"/>
      <c r="B120" s="8"/>
      <c r="C120" s="8"/>
      <c r="D120" s="8"/>
      <c r="E120" s="8"/>
      <c r="F120" s="8"/>
      <c r="G120" s="8"/>
      <c r="H120" s="8"/>
      <c r="I120" s="7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8"/>
      <c r="B121" s="8"/>
      <c r="C121" s="8"/>
      <c r="D121" s="8"/>
      <c r="E121" s="8"/>
      <c r="F121" s="8"/>
      <c r="G121" s="8"/>
      <c r="H121" s="8"/>
      <c r="I121" s="7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8"/>
      <c r="B122" s="8"/>
      <c r="C122" s="8"/>
      <c r="D122" s="8"/>
      <c r="E122" s="8"/>
      <c r="F122" s="8"/>
      <c r="G122" s="8"/>
      <c r="H122" s="8"/>
      <c r="I122" s="7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8"/>
      <c r="B123" s="8"/>
      <c r="C123" s="8"/>
      <c r="D123" s="8"/>
      <c r="E123" s="8"/>
      <c r="F123" s="8"/>
      <c r="G123" s="8"/>
      <c r="H123" s="8"/>
      <c r="I123" s="7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8"/>
      <c r="B124" s="8"/>
      <c r="C124" s="8"/>
      <c r="D124" s="8"/>
      <c r="E124" s="8"/>
      <c r="F124" s="8"/>
      <c r="G124" s="8"/>
      <c r="H124" s="8"/>
      <c r="I124" s="7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8"/>
      <c r="B125" s="8"/>
      <c r="C125" s="8"/>
      <c r="D125" s="8"/>
      <c r="E125" s="8"/>
      <c r="F125" s="8"/>
      <c r="G125" s="8"/>
      <c r="H125" s="8"/>
      <c r="I125" s="7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8"/>
      <c r="B126" s="8"/>
      <c r="C126" s="8"/>
      <c r="D126" s="8"/>
      <c r="E126" s="8"/>
      <c r="F126" s="8"/>
      <c r="G126" s="8"/>
      <c r="H126" s="8"/>
      <c r="I126" s="7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8"/>
      <c r="B127" s="8"/>
      <c r="C127" s="8"/>
      <c r="D127" s="8"/>
      <c r="E127" s="8"/>
      <c r="F127" s="8"/>
      <c r="G127" s="8"/>
      <c r="H127" s="8"/>
      <c r="I127" s="7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8"/>
      <c r="B128" s="8"/>
      <c r="C128" s="8"/>
      <c r="D128" s="8"/>
      <c r="E128" s="8"/>
      <c r="F128" s="8"/>
      <c r="G128" s="8"/>
      <c r="H128" s="8"/>
      <c r="I128" s="7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8"/>
      <c r="B129" s="8"/>
      <c r="C129" s="8"/>
      <c r="D129" s="8"/>
      <c r="E129" s="8"/>
      <c r="F129" s="8"/>
      <c r="G129" s="8"/>
      <c r="H129" s="8"/>
      <c r="I129" s="7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8"/>
      <c r="B130" s="8"/>
      <c r="C130" s="8"/>
      <c r="D130" s="8"/>
      <c r="E130" s="8"/>
      <c r="F130" s="8"/>
      <c r="G130" s="8"/>
      <c r="H130" s="8"/>
      <c r="I130" s="7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8"/>
      <c r="B131" s="8"/>
      <c r="C131" s="8"/>
      <c r="D131" s="8"/>
      <c r="E131" s="8"/>
      <c r="F131" s="8"/>
      <c r="G131" s="8"/>
      <c r="H131" s="8"/>
      <c r="I131" s="7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8"/>
      <c r="B132" s="8"/>
      <c r="C132" s="8"/>
      <c r="D132" s="8"/>
      <c r="E132" s="8"/>
      <c r="F132" s="8"/>
      <c r="G132" s="8"/>
      <c r="H132" s="8"/>
      <c r="I132" s="7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8"/>
      <c r="B133" s="8"/>
      <c r="C133" s="8"/>
      <c r="D133" s="8"/>
      <c r="E133" s="8"/>
      <c r="F133" s="8"/>
      <c r="G133" s="8"/>
      <c r="H133" s="8"/>
      <c r="I133" s="7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8"/>
      <c r="B134" s="8"/>
      <c r="C134" s="8"/>
      <c r="D134" s="8"/>
      <c r="E134" s="8"/>
      <c r="F134" s="8"/>
      <c r="G134" s="8"/>
      <c r="H134" s="8"/>
      <c r="I134" s="7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8"/>
      <c r="B135" s="8"/>
      <c r="C135" s="8"/>
      <c r="D135" s="8"/>
      <c r="E135" s="8"/>
      <c r="F135" s="8"/>
      <c r="G135" s="8"/>
      <c r="H135" s="8"/>
      <c r="I135" s="7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8"/>
      <c r="B136" s="8"/>
      <c r="C136" s="8"/>
      <c r="D136" s="8"/>
      <c r="E136" s="8"/>
      <c r="F136" s="8"/>
      <c r="G136" s="8"/>
      <c r="H136" s="8"/>
      <c r="I136" s="7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8"/>
      <c r="B137" s="8"/>
      <c r="C137" s="8"/>
      <c r="D137" s="8"/>
      <c r="E137" s="8"/>
      <c r="F137" s="8"/>
      <c r="G137" s="8"/>
      <c r="H137" s="8"/>
      <c r="I137" s="7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8"/>
      <c r="B138" s="8"/>
      <c r="C138" s="8"/>
      <c r="D138" s="8"/>
      <c r="E138" s="8"/>
      <c r="F138" s="8"/>
      <c r="G138" s="8"/>
      <c r="H138" s="8"/>
      <c r="I138" s="7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8"/>
      <c r="B139" s="8"/>
      <c r="C139" s="8"/>
      <c r="D139" s="8"/>
      <c r="E139" s="8"/>
      <c r="F139" s="8"/>
      <c r="G139" s="8"/>
      <c r="H139" s="8"/>
      <c r="I139" s="7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8"/>
      <c r="B140" s="8"/>
      <c r="C140" s="8"/>
      <c r="D140" s="8"/>
      <c r="E140" s="8"/>
      <c r="F140" s="8"/>
      <c r="G140" s="8"/>
      <c r="H140" s="8"/>
      <c r="I140" s="7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8"/>
      <c r="B141" s="8"/>
      <c r="C141" s="8"/>
      <c r="D141" s="8"/>
      <c r="E141" s="8"/>
      <c r="F141" s="8"/>
      <c r="G141" s="8"/>
      <c r="H141" s="8"/>
      <c r="I141" s="7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8"/>
      <c r="B142" s="8"/>
      <c r="C142" s="8"/>
      <c r="D142" s="8"/>
      <c r="E142" s="8"/>
      <c r="F142" s="8"/>
      <c r="G142" s="8"/>
      <c r="H142" s="8"/>
      <c r="I142" s="7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8"/>
      <c r="B143" s="8"/>
      <c r="C143" s="8"/>
      <c r="D143" s="8"/>
      <c r="E143" s="8"/>
      <c r="F143" s="8"/>
      <c r="G143" s="8"/>
      <c r="H143" s="8"/>
      <c r="I143" s="7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8"/>
      <c r="B144" s="8"/>
      <c r="C144" s="8"/>
      <c r="D144" s="8"/>
      <c r="E144" s="8"/>
      <c r="F144" s="8"/>
      <c r="G144" s="8"/>
      <c r="H144" s="8"/>
      <c r="I144" s="7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8"/>
      <c r="B145" s="8"/>
      <c r="C145" s="8"/>
      <c r="D145" s="8"/>
      <c r="E145" s="8"/>
      <c r="F145" s="8"/>
      <c r="G145" s="8"/>
      <c r="H145" s="8"/>
      <c r="I145" s="7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8"/>
      <c r="B146" s="8"/>
      <c r="C146" s="8"/>
      <c r="D146" s="8"/>
      <c r="E146" s="8"/>
      <c r="F146" s="8"/>
      <c r="G146" s="8"/>
      <c r="H146" s="8"/>
      <c r="I146" s="7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8"/>
      <c r="B147" s="8"/>
      <c r="C147" s="8"/>
      <c r="D147" s="8"/>
      <c r="E147" s="8"/>
      <c r="F147" s="8"/>
      <c r="G147" s="8"/>
      <c r="H147" s="8"/>
      <c r="I147" s="7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8"/>
      <c r="B148" s="8"/>
      <c r="C148" s="8"/>
      <c r="D148" s="8"/>
      <c r="E148" s="8"/>
      <c r="F148" s="8"/>
      <c r="G148" s="8"/>
      <c r="H148" s="8"/>
      <c r="I148" s="7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8"/>
      <c r="B149" s="8"/>
      <c r="C149" s="8"/>
      <c r="D149" s="8"/>
      <c r="E149" s="8"/>
      <c r="F149" s="8"/>
      <c r="G149" s="8"/>
      <c r="H149" s="8"/>
      <c r="I149" s="7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8"/>
      <c r="B150" s="8"/>
      <c r="C150" s="8"/>
      <c r="D150" s="8"/>
      <c r="E150" s="8"/>
      <c r="F150" s="8"/>
      <c r="G150" s="8"/>
      <c r="H150" s="8"/>
      <c r="I150" s="7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8"/>
      <c r="B151" s="8"/>
      <c r="C151" s="8"/>
      <c r="D151" s="8"/>
      <c r="E151" s="8"/>
      <c r="F151" s="8"/>
      <c r="G151" s="8"/>
      <c r="H151" s="8"/>
      <c r="I151" s="7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8"/>
      <c r="B152" s="8"/>
      <c r="C152" s="8"/>
      <c r="D152" s="8"/>
      <c r="E152" s="8"/>
      <c r="F152" s="8"/>
      <c r="G152" s="8"/>
      <c r="H152" s="8"/>
      <c r="I152" s="7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8"/>
      <c r="B153" s="8"/>
      <c r="C153" s="8"/>
      <c r="D153" s="8"/>
      <c r="E153" s="8"/>
      <c r="F153" s="8"/>
      <c r="G153" s="8"/>
      <c r="H153" s="8"/>
      <c r="I153" s="7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8"/>
      <c r="B154" s="8"/>
      <c r="C154" s="8"/>
      <c r="D154" s="8"/>
      <c r="E154" s="8"/>
      <c r="F154" s="8"/>
      <c r="G154" s="8"/>
      <c r="H154" s="8"/>
      <c r="I154" s="7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8"/>
      <c r="B155" s="8"/>
      <c r="C155" s="8"/>
      <c r="D155" s="8"/>
      <c r="E155" s="8"/>
      <c r="F155" s="8"/>
      <c r="G155" s="8"/>
      <c r="H155" s="8"/>
      <c r="I155" s="7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8"/>
      <c r="B156" s="8"/>
      <c r="C156" s="8"/>
      <c r="D156" s="8"/>
      <c r="E156" s="8"/>
      <c r="F156" s="8"/>
      <c r="G156" s="8"/>
      <c r="H156" s="8"/>
      <c r="I156" s="7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8"/>
      <c r="B157" s="8"/>
      <c r="C157" s="8"/>
      <c r="D157" s="8"/>
      <c r="E157" s="8"/>
      <c r="F157" s="8"/>
      <c r="G157" s="8"/>
      <c r="H157" s="8"/>
      <c r="I157" s="7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8"/>
      <c r="B158" s="8"/>
      <c r="C158" s="8"/>
      <c r="D158" s="8"/>
      <c r="E158" s="8"/>
      <c r="F158" s="8"/>
      <c r="G158" s="8"/>
      <c r="H158" s="8"/>
      <c r="I158" s="7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8"/>
      <c r="B159" s="8"/>
      <c r="C159" s="8"/>
      <c r="D159" s="8"/>
      <c r="E159" s="8"/>
      <c r="F159" s="8"/>
      <c r="G159" s="8"/>
      <c r="H159" s="8"/>
      <c r="I159" s="7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8"/>
      <c r="B160" s="8"/>
      <c r="C160" s="8"/>
      <c r="D160" s="8"/>
      <c r="E160" s="8"/>
      <c r="F160" s="8"/>
      <c r="G160" s="8"/>
      <c r="H160" s="8"/>
      <c r="I160" s="7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8"/>
      <c r="B161" s="8"/>
      <c r="C161" s="8"/>
      <c r="D161" s="8"/>
      <c r="E161" s="8"/>
      <c r="F161" s="8"/>
      <c r="G161" s="8"/>
      <c r="H161" s="8"/>
      <c r="I161" s="7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8"/>
      <c r="B162" s="8"/>
      <c r="C162" s="8"/>
      <c r="D162" s="8"/>
      <c r="E162" s="8"/>
      <c r="F162" s="8"/>
      <c r="G162" s="8"/>
      <c r="H162" s="8"/>
      <c r="I162" s="7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8"/>
      <c r="B163" s="8"/>
      <c r="C163" s="8"/>
      <c r="D163" s="8"/>
      <c r="E163" s="8"/>
      <c r="F163" s="8"/>
      <c r="G163" s="8"/>
      <c r="H163" s="8"/>
      <c r="I163" s="7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8"/>
      <c r="B164" s="8"/>
      <c r="C164" s="8"/>
      <c r="D164" s="8"/>
      <c r="E164" s="8"/>
      <c r="F164" s="8"/>
      <c r="G164" s="8"/>
      <c r="H164" s="8"/>
      <c r="I164" s="7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8"/>
      <c r="B165" s="8"/>
      <c r="C165" s="8"/>
      <c r="D165" s="8"/>
      <c r="E165" s="8"/>
      <c r="F165" s="8"/>
      <c r="G165" s="8"/>
      <c r="H165" s="8"/>
      <c r="I165" s="7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8"/>
      <c r="B166" s="8"/>
      <c r="C166" s="8"/>
      <c r="D166" s="8"/>
      <c r="E166" s="8"/>
      <c r="F166" s="8"/>
      <c r="G166" s="8"/>
      <c r="H166" s="8"/>
      <c r="I166" s="7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8"/>
      <c r="B167" s="8"/>
      <c r="C167" s="8"/>
      <c r="D167" s="8"/>
      <c r="E167" s="8"/>
      <c r="F167" s="8"/>
      <c r="G167" s="8"/>
      <c r="H167" s="8"/>
      <c r="I167" s="7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8"/>
      <c r="B168" s="8"/>
      <c r="C168" s="8"/>
      <c r="D168" s="8"/>
      <c r="E168" s="8"/>
      <c r="F168" s="8"/>
      <c r="G168" s="8"/>
      <c r="H168" s="8"/>
      <c r="I168" s="7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8"/>
      <c r="B169" s="8"/>
      <c r="C169" s="8"/>
      <c r="D169" s="8"/>
      <c r="E169" s="8"/>
      <c r="F169" s="8"/>
      <c r="G169" s="8"/>
      <c r="H169" s="8"/>
      <c r="I169" s="7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8"/>
      <c r="B170" s="8"/>
      <c r="C170" s="8"/>
      <c r="D170" s="8"/>
      <c r="E170" s="8"/>
      <c r="F170" s="8"/>
      <c r="G170" s="8"/>
      <c r="H170" s="8"/>
      <c r="I170" s="7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8"/>
      <c r="B171" s="8"/>
      <c r="C171" s="8"/>
      <c r="D171" s="8"/>
      <c r="E171" s="8"/>
      <c r="F171" s="8"/>
      <c r="G171" s="8"/>
      <c r="H171" s="8"/>
      <c r="I171" s="7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8"/>
      <c r="B172" s="8"/>
      <c r="C172" s="8"/>
      <c r="D172" s="8"/>
      <c r="E172" s="8"/>
      <c r="F172" s="8"/>
      <c r="G172" s="8"/>
      <c r="H172" s="8"/>
      <c r="I172" s="7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8"/>
      <c r="B173" s="8"/>
      <c r="C173" s="8"/>
      <c r="D173" s="8"/>
      <c r="E173" s="8"/>
      <c r="F173" s="8"/>
      <c r="G173" s="8"/>
      <c r="H173" s="8"/>
      <c r="I173" s="7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8"/>
      <c r="B174" s="8"/>
      <c r="C174" s="8"/>
      <c r="D174" s="8"/>
      <c r="E174" s="8"/>
      <c r="F174" s="8"/>
      <c r="G174" s="8"/>
      <c r="H174" s="8"/>
      <c r="I174" s="7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8"/>
      <c r="B175" s="8"/>
      <c r="C175" s="8"/>
      <c r="D175" s="8"/>
      <c r="E175" s="8"/>
      <c r="F175" s="8"/>
      <c r="G175" s="8"/>
      <c r="H175" s="8"/>
      <c r="I175" s="7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8"/>
      <c r="B176" s="8"/>
      <c r="C176" s="8"/>
      <c r="D176" s="8"/>
      <c r="E176" s="8"/>
      <c r="F176" s="8"/>
      <c r="G176" s="8"/>
      <c r="H176" s="8"/>
      <c r="I176" s="7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8"/>
      <c r="B177" s="8"/>
      <c r="C177" s="8"/>
      <c r="D177" s="8"/>
      <c r="E177" s="8"/>
      <c r="F177" s="8"/>
      <c r="G177" s="8"/>
      <c r="H177" s="8"/>
      <c r="I177" s="7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8"/>
      <c r="B178" s="8"/>
      <c r="C178" s="8"/>
      <c r="D178" s="8"/>
      <c r="E178" s="8"/>
      <c r="F178" s="8"/>
      <c r="G178" s="8"/>
      <c r="H178" s="8"/>
      <c r="I178" s="7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8"/>
      <c r="B179" s="8"/>
      <c r="C179" s="8"/>
      <c r="D179" s="8"/>
      <c r="E179" s="8"/>
      <c r="F179" s="8"/>
      <c r="G179" s="8"/>
      <c r="H179" s="8"/>
      <c r="I179" s="7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8"/>
      <c r="B180" s="8"/>
      <c r="C180" s="8"/>
      <c r="D180" s="8"/>
      <c r="E180" s="8"/>
      <c r="F180" s="8"/>
      <c r="G180" s="8"/>
      <c r="H180" s="8"/>
      <c r="I180" s="7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8"/>
      <c r="B181" s="8"/>
      <c r="C181" s="8"/>
      <c r="D181" s="8"/>
      <c r="E181" s="8"/>
      <c r="F181" s="8"/>
      <c r="G181" s="8"/>
      <c r="H181" s="8"/>
      <c r="I181" s="7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8"/>
      <c r="B182" s="8"/>
      <c r="C182" s="8"/>
      <c r="D182" s="8"/>
      <c r="E182" s="8"/>
      <c r="F182" s="8"/>
      <c r="G182" s="8"/>
      <c r="H182" s="8"/>
      <c r="I182" s="7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8"/>
      <c r="B183" s="8"/>
      <c r="C183" s="8"/>
      <c r="D183" s="8"/>
      <c r="E183" s="8"/>
      <c r="F183" s="8"/>
      <c r="G183" s="8"/>
      <c r="H183" s="8"/>
      <c r="I183" s="7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8"/>
      <c r="B184" s="8"/>
      <c r="C184" s="8"/>
      <c r="D184" s="8"/>
      <c r="E184" s="8"/>
      <c r="F184" s="8"/>
      <c r="G184" s="8"/>
      <c r="H184" s="8"/>
      <c r="I184" s="7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8"/>
      <c r="B185" s="8"/>
      <c r="C185" s="8"/>
      <c r="D185" s="8"/>
      <c r="E185" s="8"/>
      <c r="F185" s="8"/>
      <c r="G185" s="8"/>
      <c r="H185" s="8"/>
      <c r="I185" s="7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8"/>
      <c r="B186" s="8"/>
      <c r="C186" s="8"/>
      <c r="D186" s="8"/>
      <c r="E186" s="8"/>
      <c r="F186" s="8"/>
      <c r="G186" s="8"/>
      <c r="H186" s="8"/>
      <c r="I186" s="7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8"/>
      <c r="B187" s="8"/>
      <c r="C187" s="8"/>
      <c r="D187" s="8"/>
      <c r="E187" s="8"/>
      <c r="F187" s="8"/>
      <c r="G187" s="8"/>
      <c r="H187" s="8"/>
      <c r="I187" s="7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8"/>
      <c r="B188" s="8"/>
      <c r="C188" s="8"/>
      <c r="D188" s="8"/>
      <c r="E188" s="8"/>
      <c r="F188" s="8"/>
      <c r="G188" s="8"/>
      <c r="H188" s="8"/>
      <c r="I188" s="7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8"/>
      <c r="B189" s="8"/>
      <c r="C189" s="8"/>
      <c r="D189" s="8"/>
      <c r="E189" s="8"/>
      <c r="F189" s="8"/>
      <c r="G189" s="8"/>
      <c r="H189" s="8"/>
      <c r="I189" s="7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8"/>
      <c r="B190" s="8"/>
      <c r="C190" s="8"/>
      <c r="D190" s="8"/>
      <c r="E190" s="8"/>
      <c r="F190" s="8"/>
      <c r="G190" s="8"/>
      <c r="H190" s="8"/>
      <c r="I190" s="7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8"/>
      <c r="B191" s="8"/>
      <c r="C191" s="8"/>
      <c r="D191" s="8"/>
      <c r="E191" s="8"/>
      <c r="F191" s="8"/>
      <c r="G191" s="8"/>
      <c r="H191" s="8"/>
      <c r="I191" s="7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8"/>
      <c r="B192" s="8"/>
      <c r="C192" s="8"/>
      <c r="D192" s="8"/>
      <c r="E192" s="8"/>
      <c r="F192" s="8"/>
      <c r="G192" s="8"/>
      <c r="H192" s="8"/>
      <c r="I192" s="7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8"/>
      <c r="B193" s="8"/>
      <c r="C193" s="8"/>
      <c r="D193" s="8"/>
      <c r="E193" s="8"/>
      <c r="F193" s="8"/>
      <c r="G193" s="8"/>
      <c r="H193" s="8"/>
      <c r="I193" s="7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8"/>
      <c r="B194" s="8"/>
      <c r="C194" s="8"/>
      <c r="D194" s="8"/>
      <c r="E194" s="8"/>
      <c r="F194" s="8"/>
      <c r="G194" s="8"/>
      <c r="H194" s="8"/>
      <c r="I194" s="7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8"/>
      <c r="B195" s="8"/>
      <c r="C195" s="8"/>
      <c r="D195" s="8"/>
      <c r="E195" s="8"/>
      <c r="F195" s="8"/>
      <c r="G195" s="8"/>
      <c r="H195" s="8"/>
      <c r="I195" s="7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8"/>
      <c r="B196" s="8"/>
      <c r="C196" s="8"/>
      <c r="D196" s="8"/>
      <c r="E196" s="8"/>
      <c r="F196" s="8"/>
      <c r="G196" s="8"/>
      <c r="H196" s="8"/>
      <c r="I196" s="7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8"/>
      <c r="B197" s="8"/>
      <c r="C197" s="8"/>
      <c r="D197" s="8"/>
      <c r="E197" s="8"/>
      <c r="F197" s="8"/>
      <c r="G197" s="8"/>
      <c r="H197" s="8"/>
      <c r="I197" s="7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8"/>
      <c r="B198" s="8"/>
      <c r="C198" s="8"/>
      <c r="D198" s="8"/>
      <c r="E198" s="8"/>
      <c r="F198" s="8"/>
      <c r="G198" s="8"/>
      <c r="H198" s="8"/>
      <c r="I198" s="7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8"/>
      <c r="B199" s="8"/>
      <c r="C199" s="8"/>
      <c r="D199" s="8"/>
      <c r="E199" s="8"/>
      <c r="F199" s="8"/>
      <c r="G199" s="8"/>
      <c r="H199" s="8"/>
      <c r="I199" s="7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8"/>
      <c r="B200" s="8"/>
      <c r="C200" s="8"/>
      <c r="D200" s="8"/>
      <c r="E200" s="8"/>
      <c r="F200" s="8"/>
      <c r="G200" s="8"/>
      <c r="H200" s="8"/>
      <c r="I200" s="7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8"/>
      <c r="B201" s="8"/>
      <c r="C201" s="8"/>
      <c r="D201" s="8"/>
      <c r="E201" s="8"/>
      <c r="F201" s="8"/>
      <c r="G201" s="8"/>
      <c r="H201" s="8"/>
      <c r="I201" s="7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8"/>
      <c r="B202" s="8"/>
      <c r="C202" s="8"/>
      <c r="D202" s="8"/>
      <c r="E202" s="8"/>
      <c r="F202" s="8"/>
      <c r="G202" s="8"/>
      <c r="H202" s="8"/>
      <c r="I202" s="7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8"/>
      <c r="B203" s="8"/>
      <c r="C203" s="8"/>
      <c r="D203" s="8"/>
      <c r="E203" s="8"/>
      <c r="F203" s="8"/>
      <c r="G203" s="8"/>
      <c r="H203" s="8"/>
      <c r="I203" s="7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8"/>
      <c r="B204" s="8"/>
      <c r="C204" s="8"/>
      <c r="D204" s="8"/>
      <c r="E204" s="8"/>
      <c r="F204" s="8"/>
      <c r="G204" s="8"/>
      <c r="H204" s="8"/>
      <c r="I204" s="7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SETUP!$D$5:$D$6</xm:f>
          </x14:formula1>
          <xm:sqref>E5:G204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0"/>
  <sheetViews>
    <sheetView workbookViewId="0">
      <selection sqref="A1:I1"/>
    </sheetView>
  </sheetViews>
  <sheetFormatPr defaultRowHeight="14.25"/>
  <cols>
    <col min="1" max="1" width="14" customWidth="1"/>
    <col min="2" max="2" width="25" customWidth="1"/>
    <col min="3" max="3" width="13" customWidth="1"/>
    <col min="4" max="4" width="14" customWidth="1"/>
    <col min="5" max="5" width="18" customWidth="1"/>
    <col min="6" max="6" width="46" customWidth="1"/>
    <col min="7" max="7" width="30" customWidth="1"/>
    <col min="8" max="8" width="18" customWidth="1"/>
    <col min="9" max="9" width="36" customWidth="1"/>
  </cols>
  <sheetData>
    <row r="1" spans="1:26" ht="33.950000000000003" customHeight="1">
      <c r="A1" s="14" t="s">
        <v>124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125</v>
      </c>
      <c r="B2" s="10"/>
      <c r="C2" s="10"/>
      <c r="D2" s="10"/>
      <c r="E2" s="10"/>
      <c r="F2" s="10"/>
      <c r="G2" s="10"/>
      <c r="H2" s="10"/>
      <c r="I2" s="1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36</v>
      </c>
      <c r="B4" s="1" t="s">
        <v>42</v>
      </c>
      <c r="C4" s="1" t="s">
        <v>38</v>
      </c>
      <c r="D4" s="1" t="s">
        <v>126</v>
      </c>
      <c r="E4" s="1" t="s">
        <v>127</v>
      </c>
      <c r="F4" s="1" t="s">
        <v>128</v>
      </c>
      <c r="G4" s="1" t="s">
        <v>53</v>
      </c>
      <c r="H4" s="1" t="s">
        <v>129</v>
      </c>
      <c r="I4" s="1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46190</v>
      </c>
      <c r="B5" s="8" t="s">
        <v>54</v>
      </c>
      <c r="C5" s="8" t="s">
        <v>56</v>
      </c>
      <c r="D5" s="8" t="s">
        <v>130</v>
      </c>
      <c r="E5" s="8" t="s">
        <v>131</v>
      </c>
      <c r="F5" s="8" t="s">
        <v>132</v>
      </c>
      <c r="G5" s="8" t="s">
        <v>62</v>
      </c>
      <c r="H5" s="8" t="s">
        <v>57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46190</v>
      </c>
      <c r="B6" s="8" t="s">
        <v>73</v>
      </c>
      <c r="C6" s="8" t="s">
        <v>66</v>
      </c>
      <c r="D6" s="8" t="s">
        <v>133</v>
      </c>
      <c r="E6" s="8" t="s">
        <v>134</v>
      </c>
      <c r="F6" s="8" t="s">
        <v>135</v>
      </c>
      <c r="G6" s="8" t="s">
        <v>77</v>
      </c>
      <c r="H6" s="8" t="s">
        <v>57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/>
      <c r="B7" s="8"/>
      <c r="C7" s="8"/>
      <c r="D7" s="8"/>
      <c r="E7" s="8"/>
      <c r="F7" s="8"/>
      <c r="G7" s="8"/>
      <c r="H7" s="8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/>
      <c r="B8" s="8"/>
      <c r="C8" s="8"/>
      <c r="D8" s="8"/>
      <c r="E8" s="8"/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8"/>
      <c r="C9" s="8"/>
      <c r="D9" s="8"/>
      <c r="E9" s="8"/>
      <c r="F9" s="8"/>
      <c r="G9" s="8"/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/>
      <c r="B10" s="8"/>
      <c r="C10" s="8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/>
      <c r="B11" s="8"/>
      <c r="C11" s="8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/>
      <c r="B12" s="8"/>
      <c r="C12" s="8"/>
      <c r="D12" s="8"/>
      <c r="E12" s="8"/>
      <c r="F12" s="8"/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/>
      <c r="B13" s="8"/>
      <c r="C13" s="8"/>
      <c r="D13" s="8"/>
      <c r="E13" s="8"/>
      <c r="F13" s="8"/>
      <c r="G13" s="8"/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/>
      <c r="B14" s="8"/>
      <c r="C14" s="8"/>
      <c r="D14" s="8"/>
      <c r="E14" s="8"/>
      <c r="F14" s="8"/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8"/>
      <c r="C15" s="8"/>
      <c r="D15" s="8"/>
      <c r="E15" s="8"/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/>
      <c r="B16" s="8"/>
      <c r="C16" s="8"/>
      <c r="D16" s="8"/>
      <c r="E16" s="8"/>
      <c r="F16" s="8"/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8"/>
      <c r="C17" s="8"/>
      <c r="D17" s="8"/>
      <c r="E17" s="8"/>
      <c r="F17" s="8"/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/>
      <c r="B18" s="8"/>
      <c r="C18" s="8"/>
      <c r="D18" s="8"/>
      <c r="E18" s="8"/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/>
      <c r="B19" s="8"/>
      <c r="C19" s="8"/>
      <c r="D19" s="8"/>
      <c r="E19" s="8"/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/>
      <c r="B20" s="8"/>
      <c r="C20" s="8"/>
      <c r="D20" s="8"/>
      <c r="E20" s="8"/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/>
      <c r="B21" s="8"/>
      <c r="C21" s="8"/>
      <c r="D21" s="8"/>
      <c r="E21" s="8"/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8"/>
      <c r="C22" s="8"/>
      <c r="D22" s="8"/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/>
      <c r="B23" s="8"/>
      <c r="C23" s="8"/>
      <c r="D23" s="8"/>
      <c r="E23" s="8"/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/>
      <c r="B24" s="8"/>
      <c r="C24" s="8"/>
      <c r="D24" s="8"/>
      <c r="E24" s="8"/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/>
      <c r="B25" s="8"/>
      <c r="C25" s="8"/>
      <c r="D25" s="8"/>
      <c r="E25" s="8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/>
      <c r="B26" s="8"/>
      <c r="C26" s="8"/>
      <c r="D26" s="8"/>
      <c r="E26" s="8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/>
      <c r="B27" s="8"/>
      <c r="C27" s="8"/>
      <c r="D27" s="8"/>
      <c r="E27" s="8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/>
      <c r="B28" s="8"/>
      <c r="C28" s="8"/>
      <c r="D28" s="8"/>
      <c r="E28" s="8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7"/>
      <c r="B29" s="8"/>
      <c r="C29" s="8"/>
      <c r="D29" s="8"/>
      <c r="E29" s="8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"/>
      <c r="B30" s="8"/>
      <c r="C30" s="8"/>
      <c r="D30" s="8"/>
      <c r="E30" s="8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7"/>
      <c r="B31" s="8"/>
      <c r="C31" s="8"/>
      <c r="D31" s="8"/>
      <c r="E31" s="8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"/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8"/>
      <c r="C33" s="8"/>
      <c r="D33" s="8"/>
      <c r="E33" s="8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/>
      <c r="B34" s="8"/>
      <c r="C34" s="8"/>
      <c r="D34" s="8"/>
      <c r="E34" s="8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7"/>
      <c r="B35" s="8"/>
      <c r="C35" s="8"/>
      <c r="D35" s="8"/>
      <c r="E35" s="8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7"/>
      <c r="B36" s="8"/>
      <c r="C36" s="8"/>
      <c r="D36" s="8"/>
      <c r="E36" s="8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7"/>
      <c r="B37" s="8"/>
      <c r="C37" s="8"/>
      <c r="D37" s="8"/>
      <c r="E37" s="8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7"/>
      <c r="B38" s="8"/>
      <c r="C38" s="8"/>
      <c r="D38" s="8"/>
      <c r="E38" s="8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7"/>
      <c r="B39" s="8"/>
      <c r="C39" s="8"/>
      <c r="D39" s="8"/>
      <c r="E39" s="8"/>
      <c r="F39" s="8"/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7"/>
      <c r="B40" s="8"/>
      <c r="C40" s="8"/>
      <c r="D40" s="8"/>
      <c r="E40" s="8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7"/>
      <c r="B41" s="8"/>
      <c r="C41" s="8"/>
      <c r="D41" s="8"/>
      <c r="E41" s="8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7"/>
      <c r="B42" s="8"/>
      <c r="C42" s="8"/>
      <c r="D42" s="8"/>
      <c r="E42" s="8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7"/>
      <c r="B43" s="8"/>
      <c r="C43" s="8"/>
      <c r="D43" s="8"/>
      <c r="E43" s="8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7"/>
      <c r="B44" s="8"/>
      <c r="C44" s="8"/>
      <c r="D44" s="8"/>
      <c r="E44" s="8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7"/>
      <c r="B45" s="8"/>
      <c r="C45" s="8"/>
      <c r="D45" s="8"/>
      <c r="E45" s="8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7"/>
      <c r="B46" s="8"/>
      <c r="C46" s="8"/>
      <c r="D46" s="8"/>
      <c r="E46" s="8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7"/>
      <c r="B47" s="8"/>
      <c r="C47" s="8"/>
      <c r="D47" s="8"/>
      <c r="E47" s="8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7"/>
      <c r="B48" s="8"/>
      <c r="C48" s="8"/>
      <c r="D48" s="8"/>
      <c r="E48" s="8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7"/>
      <c r="B49" s="8"/>
      <c r="C49" s="8"/>
      <c r="D49" s="8"/>
      <c r="E49" s="8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7"/>
      <c r="B50" s="8"/>
      <c r="C50" s="8"/>
      <c r="D50" s="8"/>
      <c r="E50" s="8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7"/>
      <c r="B51" s="8"/>
      <c r="C51" s="8"/>
      <c r="D51" s="8"/>
      <c r="E51" s="8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7"/>
      <c r="B52" s="8"/>
      <c r="C52" s="8"/>
      <c r="D52" s="8"/>
      <c r="E52" s="8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7"/>
      <c r="B53" s="8"/>
      <c r="C53" s="8"/>
      <c r="D53" s="8"/>
      <c r="E53" s="8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7"/>
      <c r="B54" s="8"/>
      <c r="C54" s="8"/>
      <c r="D54" s="8"/>
      <c r="E54" s="8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7"/>
      <c r="B55" s="8"/>
      <c r="C55" s="8"/>
      <c r="D55" s="8"/>
      <c r="E55" s="8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7"/>
      <c r="B56" s="8"/>
      <c r="C56" s="8"/>
      <c r="D56" s="8"/>
      <c r="E56" s="8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7"/>
      <c r="B57" s="8"/>
      <c r="C57" s="8"/>
      <c r="D57" s="8"/>
      <c r="E57" s="8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7"/>
      <c r="B58" s="8"/>
      <c r="C58" s="8"/>
      <c r="D58" s="8"/>
      <c r="E58" s="8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7"/>
      <c r="B59" s="8"/>
      <c r="C59" s="8"/>
      <c r="D59" s="8"/>
      <c r="E59" s="8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7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7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7"/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7"/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7"/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7"/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7"/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7"/>
      <c r="B67" s="8"/>
      <c r="C67" s="8"/>
      <c r="D67" s="8"/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7"/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7"/>
      <c r="B69" s="8"/>
      <c r="C69" s="8"/>
      <c r="D69" s="8"/>
      <c r="E69" s="8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7"/>
      <c r="B70" s="8"/>
      <c r="C70" s="8"/>
      <c r="D70" s="8"/>
      <c r="E70" s="8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7"/>
      <c r="B71" s="8"/>
      <c r="C71" s="8"/>
      <c r="D71" s="8"/>
      <c r="E71" s="8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7"/>
      <c r="B72" s="8"/>
      <c r="C72" s="8"/>
      <c r="D72" s="8"/>
      <c r="E72" s="8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7"/>
      <c r="B73" s="8"/>
      <c r="C73" s="8"/>
      <c r="D73" s="8"/>
      <c r="E73" s="8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7"/>
      <c r="B74" s="8"/>
      <c r="C74" s="8"/>
      <c r="D74" s="8"/>
      <c r="E74" s="8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7"/>
      <c r="B75" s="8"/>
      <c r="C75" s="8"/>
      <c r="D75" s="8"/>
      <c r="E75" s="8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7"/>
      <c r="B76" s="8"/>
      <c r="C76" s="8"/>
      <c r="D76" s="8"/>
      <c r="E76" s="8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7"/>
      <c r="B77" s="8"/>
      <c r="C77" s="8"/>
      <c r="D77" s="8"/>
      <c r="E77" s="8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7"/>
      <c r="B78" s="8"/>
      <c r="C78" s="8"/>
      <c r="D78" s="8"/>
      <c r="E78" s="8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7"/>
      <c r="B79" s="8"/>
      <c r="C79" s="8"/>
      <c r="D79" s="8"/>
      <c r="E79" s="8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7"/>
      <c r="B80" s="8"/>
      <c r="C80" s="8"/>
      <c r="D80" s="8"/>
      <c r="E80" s="8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7"/>
      <c r="B81" s="8"/>
      <c r="C81" s="8"/>
      <c r="D81" s="8"/>
      <c r="E81" s="8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7"/>
      <c r="B82" s="8"/>
      <c r="C82" s="8"/>
      <c r="D82" s="8"/>
      <c r="E82" s="8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7"/>
      <c r="B83" s="8"/>
      <c r="C83" s="8"/>
      <c r="D83" s="8"/>
      <c r="E83" s="8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7"/>
      <c r="B84" s="8"/>
      <c r="C84" s="8"/>
      <c r="D84" s="8"/>
      <c r="E84" s="8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7"/>
      <c r="B85" s="8"/>
      <c r="C85" s="8"/>
      <c r="D85" s="8"/>
      <c r="E85" s="8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7"/>
      <c r="B86" s="8"/>
      <c r="C86" s="8"/>
      <c r="D86" s="8"/>
      <c r="E86" s="8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7"/>
      <c r="B87" s="8"/>
      <c r="C87" s="8"/>
      <c r="D87" s="8"/>
      <c r="E87" s="8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7"/>
      <c r="B88" s="8"/>
      <c r="C88" s="8"/>
      <c r="D88" s="8"/>
      <c r="E88" s="8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7"/>
      <c r="B89" s="8"/>
      <c r="C89" s="8"/>
      <c r="D89" s="8"/>
      <c r="E89" s="8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7"/>
      <c r="B90" s="8"/>
      <c r="C90" s="8"/>
      <c r="D90" s="8"/>
      <c r="E90" s="8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7"/>
      <c r="B91" s="8"/>
      <c r="C91" s="8"/>
      <c r="D91" s="8"/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7"/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7"/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7"/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7"/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7"/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7"/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7"/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7"/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7"/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7"/>
      <c r="B101" s="8"/>
      <c r="C101" s="8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7"/>
      <c r="B102" s="8"/>
      <c r="C102" s="8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7"/>
      <c r="B103" s="8"/>
      <c r="C103" s="8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7"/>
      <c r="B104" s="8"/>
      <c r="C104" s="8"/>
      <c r="D104" s="8"/>
      <c r="E104" s="8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7"/>
      <c r="B105" s="8"/>
      <c r="C105" s="8"/>
      <c r="D105" s="8"/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7"/>
      <c r="B106" s="8"/>
      <c r="C106" s="8"/>
      <c r="D106" s="8"/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7"/>
      <c r="B107" s="8"/>
      <c r="C107" s="8"/>
      <c r="D107" s="8"/>
      <c r="E107" s="8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7"/>
      <c r="B108" s="8"/>
      <c r="C108" s="8"/>
      <c r="D108" s="8"/>
      <c r="E108" s="8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7"/>
      <c r="B109" s="8"/>
      <c r="C109" s="8"/>
      <c r="D109" s="8"/>
      <c r="E109" s="8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7"/>
      <c r="B110" s="8"/>
      <c r="C110" s="8"/>
      <c r="D110" s="8"/>
      <c r="E110" s="8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7"/>
      <c r="B111" s="8"/>
      <c r="C111" s="8"/>
      <c r="D111" s="8"/>
      <c r="E111" s="8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7"/>
      <c r="B112" s="8"/>
      <c r="C112" s="8"/>
      <c r="D112" s="8"/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7"/>
      <c r="B113" s="8"/>
      <c r="C113" s="8"/>
      <c r="D113" s="8"/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7"/>
      <c r="B114" s="8"/>
      <c r="C114" s="8"/>
      <c r="D114" s="8"/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7"/>
      <c r="B115" s="8"/>
      <c r="C115" s="8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7"/>
      <c r="B116" s="8"/>
      <c r="C116" s="8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7"/>
      <c r="B117" s="8"/>
      <c r="C117" s="8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7"/>
      <c r="B118" s="8"/>
      <c r="C118" s="8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7"/>
      <c r="B119" s="8"/>
      <c r="C119" s="8"/>
      <c r="D119" s="8"/>
      <c r="E119" s="8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7"/>
      <c r="B120" s="8"/>
      <c r="C120" s="8"/>
      <c r="D120" s="8"/>
      <c r="E120" s="8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7"/>
      <c r="B121" s="8"/>
      <c r="C121" s="8"/>
      <c r="D121" s="8"/>
      <c r="E121" s="8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7"/>
      <c r="B122" s="8"/>
      <c r="C122" s="8"/>
      <c r="D122" s="8"/>
      <c r="E122" s="8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7"/>
      <c r="B123" s="8"/>
      <c r="C123" s="8"/>
      <c r="D123" s="8"/>
      <c r="E123" s="8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7"/>
      <c r="B124" s="8"/>
      <c r="C124" s="8"/>
      <c r="D124" s="8"/>
      <c r="E124" s="8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7"/>
      <c r="B125" s="8"/>
      <c r="C125" s="8"/>
      <c r="D125" s="8"/>
      <c r="E125" s="8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7"/>
      <c r="B126" s="8"/>
      <c r="C126" s="8"/>
      <c r="D126" s="8"/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7"/>
      <c r="B127" s="8"/>
      <c r="C127" s="8"/>
      <c r="D127" s="8"/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7"/>
      <c r="B128" s="8"/>
      <c r="C128" s="8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7"/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7"/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7"/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7"/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7"/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7"/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7"/>
      <c r="B135" s="8"/>
      <c r="C135" s="8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7"/>
      <c r="B136" s="8"/>
      <c r="C136" s="8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7"/>
      <c r="B137" s="8"/>
      <c r="C137" s="8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7"/>
      <c r="B138" s="8"/>
      <c r="C138" s="8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7"/>
      <c r="B139" s="8"/>
      <c r="C139" s="8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7"/>
      <c r="B140" s="8"/>
      <c r="C140" s="8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7"/>
      <c r="B141" s="8"/>
      <c r="C141" s="8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7"/>
      <c r="B142" s="8"/>
      <c r="C142" s="8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7"/>
      <c r="B143" s="8"/>
      <c r="C143" s="8"/>
      <c r="D143" s="8"/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7"/>
      <c r="B144" s="8"/>
      <c r="C144" s="8"/>
      <c r="D144" s="8"/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7"/>
      <c r="B145" s="8"/>
      <c r="C145" s="8"/>
      <c r="D145" s="8"/>
      <c r="E145" s="8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7"/>
      <c r="B146" s="8"/>
      <c r="C146" s="8"/>
      <c r="D146" s="8"/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7"/>
      <c r="B147" s="8"/>
      <c r="C147" s="8"/>
      <c r="D147" s="8"/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7"/>
      <c r="B148" s="8"/>
      <c r="C148" s="8"/>
      <c r="D148" s="8"/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7"/>
      <c r="B149" s="8"/>
      <c r="C149" s="8"/>
      <c r="D149" s="8"/>
      <c r="E149" s="8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7"/>
      <c r="B150" s="8"/>
      <c r="C150" s="8"/>
      <c r="D150" s="8"/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7"/>
      <c r="B151" s="8"/>
      <c r="C151" s="8"/>
      <c r="D151" s="8"/>
      <c r="E151" s="8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7"/>
      <c r="B152" s="8"/>
      <c r="C152" s="8"/>
      <c r="D152" s="8"/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7"/>
      <c r="B153" s="8"/>
      <c r="C153" s="8"/>
      <c r="D153" s="8"/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7"/>
      <c r="B154" s="8"/>
      <c r="C154" s="8"/>
      <c r="D154" s="8"/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7"/>
      <c r="B155" s="8"/>
      <c r="C155" s="8"/>
      <c r="D155" s="8"/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7"/>
      <c r="B156" s="8"/>
      <c r="C156" s="8"/>
      <c r="D156" s="8"/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7"/>
      <c r="B157" s="8"/>
      <c r="C157" s="8"/>
      <c r="D157" s="8"/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7"/>
      <c r="B158" s="8"/>
      <c r="C158" s="8"/>
      <c r="D158" s="8"/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7"/>
      <c r="B159" s="8"/>
      <c r="C159" s="8"/>
      <c r="D159" s="8"/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7"/>
      <c r="B160" s="8"/>
      <c r="C160" s="8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7"/>
      <c r="B161" s="8"/>
      <c r="C161" s="8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7"/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7"/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7"/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7"/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7"/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7"/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7"/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7"/>
      <c r="B169" s="8"/>
      <c r="C169" s="8"/>
      <c r="D169" s="8"/>
      <c r="E169" s="8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7"/>
      <c r="B170" s="8"/>
      <c r="C170" s="8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7"/>
      <c r="B171" s="8"/>
      <c r="C171" s="8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7"/>
      <c r="B172" s="8"/>
      <c r="C172" s="8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7"/>
      <c r="B173" s="8"/>
      <c r="C173" s="8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7"/>
      <c r="B174" s="8"/>
      <c r="C174" s="8"/>
      <c r="D174" s="8"/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7"/>
      <c r="B175" s="8"/>
      <c r="C175" s="8"/>
      <c r="D175" s="8"/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7"/>
      <c r="B176" s="8"/>
      <c r="C176" s="8"/>
      <c r="D176" s="8"/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7"/>
      <c r="B177" s="8"/>
      <c r="C177" s="8"/>
      <c r="D177" s="8"/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7"/>
      <c r="B178" s="8"/>
      <c r="C178" s="8"/>
      <c r="D178" s="8"/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7"/>
      <c r="B179" s="8"/>
      <c r="C179" s="8"/>
      <c r="D179" s="8"/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7"/>
      <c r="B180" s="8"/>
      <c r="C180" s="8"/>
      <c r="D180" s="8"/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7"/>
      <c r="B181" s="8"/>
      <c r="C181" s="8"/>
      <c r="D181" s="8"/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7"/>
      <c r="B182" s="8"/>
      <c r="C182" s="8"/>
      <c r="D182" s="8"/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7"/>
      <c r="B183" s="8"/>
      <c r="C183" s="8"/>
      <c r="D183" s="8"/>
      <c r="E183" s="8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7"/>
      <c r="B184" s="8"/>
      <c r="C184" s="8"/>
      <c r="D184" s="8"/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7"/>
      <c r="B185" s="8"/>
      <c r="C185" s="8"/>
      <c r="D185" s="8"/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7"/>
      <c r="B186" s="8"/>
      <c r="C186" s="8"/>
      <c r="D186" s="8"/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7"/>
      <c r="B187" s="8"/>
      <c r="C187" s="8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7"/>
      <c r="B188" s="8"/>
      <c r="C188" s="8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7"/>
      <c r="B189" s="8"/>
      <c r="C189" s="8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7"/>
      <c r="B190" s="8"/>
      <c r="C190" s="8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7"/>
      <c r="B191" s="8"/>
      <c r="C191" s="8"/>
      <c r="D191" s="8"/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7"/>
      <c r="B192" s="8"/>
      <c r="C192" s="8"/>
      <c r="D192" s="8"/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7"/>
      <c r="B193" s="8"/>
      <c r="C193" s="8"/>
      <c r="D193" s="8"/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7"/>
      <c r="B194" s="8"/>
      <c r="C194" s="8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7"/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7"/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7"/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7"/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7"/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7"/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7"/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7"/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7"/>
      <c r="B203" s="8"/>
      <c r="C203" s="8"/>
      <c r="D203" s="8"/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7"/>
      <c r="B204" s="8"/>
      <c r="C204" s="8"/>
      <c r="D204" s="8"/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SETUP!$E$5:$E$7</xm:f>
          </x14:formula1>
          <xm:sqref>D5:D204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00"/>
  <sheetViews>
    <sheetView workbookViewId="0">
      <selection sqref="A1:F1"/>
    </sheetView>
  </sheetViews>
  <sheetFormatPr defaultRowHeight="14.25"/>
  <cols>
    <col min="1" max="1" width="20" customWidth="1"/>
    <col min="2" max="2" width="44" customWidth="1"/>
    <col min="3" max="3" width="15" customWidth="1"/>
    <col min="4" max="4" width="13" customWidth="1"/>
    <col min="5" max="5" width="17" customWidth="1"/>
    <col min="6" max="6" width="36" customWidth="1"/>
  </cols>
  <sheetData>
    <row r="1" spans="1:26" ht="33.950000000000003" customHeight="1">
      <c r="A1" s="14" t="s">
        <v>136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137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32</v>
      </c>
      <c r="B4" s="1" t="s">
        <v>89</v>
      </c>
      <c r="C4" s="1" t="s">
        <v>138</v>
      </c>
      <c r="D4" s="1" t="s">
        <v>139</v>
      </c>
      <c r="E4" s="1" t="s">
        <v>140</v>
      </c>
      <c r="F4" s="1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55</v>
      </c>
      <c r="B5" s="8" t="s">
        <v>141</v>
      </c>
      <c r="C5" s="8">
        <f>COUNTIFS(BLOCK_CATALOG!$B:$B,A5,BLOCK_CATALOG!$C:$C,"Dynamic")</f>
        <v>3</v>
      </c>
      <c r="D5" s="8">
        <f>COUNTIFS(BLOCK_CATALOG!$B:$B,A5,BLOCK_CATALOG!$C:$C,"Static")</f>
        <v>1</v>
      </c>
      <c r="E5" s="8">
        <f>COUNTIFS(BLOCK_CATALOG!$B:$B,A5,BLOCK_CATALOG!$D:$D,"Production")</f>
        <v>2</v>
      </c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">
        <v>142</v>
      </c>
      <c r="B6" s="8" t="s">
        <v>143</v>
      </c>
      <c r="C6" s="8">
        <f>COUNTIFS(BLOCK_CATALOG!$B:$B,A6,BLOCK_CATALOG!$C:$C,"Dynamic")</f>
        <v>0</v>
      </c>
      <c r="D6" s="8">
        <f>COUNTIFS(BLOCK_CATALOG!$B:$B,A6,BLOCK_CATALOG!$C:$C,"Static")</f>
        <v>0</v>
      </c>
      <c r="E6" s="8">
        <f>COUNTIFS(BLOCK_CATALOG!$B:$B,A6,BLOCK_CATALOG!$D:$D,"Production")</f>
        <v>0</v>
      </c>
      <c r="F6" s="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144</v>
      </c>
      <c r="B7" s="8" t="s">
        <v>145</v>
      </c>
      <c r="C7" s="8">
        <f>COUNTIFS(BLOCK_CATALOG!$B:$B,A7,BLOCK_CATALOG!$C:$C,"Dynamic")</f>
        <v>0</v>
      </c>
      <c r="D7" s="8">
        <f>COUNTIFS(BLOCK_CATALOG!$B:$B,A7,BLOCK_CATALOG!$C:$C,"Static")</f>
        <v>0</v>
      </c>
      <c r="E7" s="8">
        <f>COUNTIFS(BLOCK_CATALOG!$B:$B,A7,BLOCK_CATALOG!$D:$D,"Production")</f>
        <v>0</v>
      </c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146</v>
      </c>
      <c r="B8" s="8" t="s">
        <v>147</v>
      </c>
      <c r="C8" s="8">
        <f>COUNTIFS(BLOCK_CATALOG!$B:$B,A8,BLOCK_CATALOG!$C:$C,"Dynamic")</f>
        <v>0</v>
      </c>
      <c r="D8" s="8">
        <f>COUNTIFS(BLOCK_CATALOG!$B:$B,A8,BLOCK_CATALOG!$C:$C,"Static")</f>
        <v>0</v>
      </c>
      <c r="E8" s="8">
        <f>COUNTIFS(BLOCK_CATALOG!$B:$B,A8,BLOCK_CATALOG!$D:$D,"Production")</f>
        <v>0</v>
      </c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 t="s">
        <v>148</v>
      </c>
      <c r="B9" s="8" t="s">
        <v>149</v>
      </c>
      <c r="C9" s="8">
        <f>COUNTIFS(BLOCK_CATALOG!$B:$B,A9,BLOCK_CATALOG!$C:$C,"Dynamic")</f>
        <v>0</v>
      </c>
      <c r="D9" s="8">
        <f>COUNTIFS(BLOCK_CATALOG!$B:$B,A9,BLOCK_CATALOG!$C:$C,"Static")</f>
        <v>0</v>
      </c>
      <c r="E9" s="8">
        <f>COUNTIFS(BLOCK_CATALOG!$B:$B,A9,BLOCK_CATALOG!$D:$D,"Production")</f>
        <v>0</v>
      </c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150</v>
      </c>
      <c r="B10" s="8" t="s">
        <v>151</v>
      </c>
      <c r="C10" s="8">
        <f>COUNTIFS(BLOCK_CATALOG!$B:$B,A10,BLOCK_CATALOG!$C:$C,"Dynamic")</f>
        <v>0</v>
      </c>
      <c r="D10" s="8">
        <f>COUNTIFS(BLOCK_CATALOG!$B:$B,A10,BLOCK_CATALOG!$C:$C,"Static")</f>
        <v>0</v>
      </c>
      <c r="E10" s="8">
        <f>COUNTIFS(BLOCK_CATALOG!$B:$B,A10,BLOCK_CATALOG!$D:$D,"Production")</f>
        <v>0</v>
      </c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/>
      <c r="B11" s="8"/>
      <c r="C11" s="8"/>
      <c r="D11" s="8"/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/>
      <c r="B20" s="8"/>
      <c r="C20" s="8"/>
      <c r="D20" s="8"/>
      <c r="E20" s="8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/>
      <c r="B21" s="8"/>
      <c r="C21" s="8"/>
      <c r="D21" s="8"/>
      <c r="E21" s="8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/>
      <c r="B22" s="8"/>
      <c r="C22" s="8"/>
      <c r="D22" s="8"/>
      <c r="E22" s="8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/>
      <c r="B24" s="8"/>
      <c r="C24" s="8"/>
      <c r="D24" s="8"/>
      <c r="E24" s="8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/>
      <c r="B25" s="8"/>
      <c r="C25" s="8"/>
      <c r="D25" s="8"/>
      <c r="E25" s="8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/>
      <c r="B26" s="8"/>
      <c r="C26" s="8"/>
      <c r="D26" s="8"/>
      <c r="E26" s="8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/>
      <c r="B27" s="8"/>
      <c r="C27" s="8"/>
      <c r="D27" s="8"/>
      <c r="E27" s="8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/>
      <c r="B28" s="8"/>
      <c r="C28" s="8"/>
      <c r="D28" s="8"/>
      <c r="E28" s="8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/>
      <c r="B29" s="8"/>
      <c r="C29" s="8"/>
      <c r="D29" s="8"/>
      <c r="E29" s="8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/>
      <c r="B30" s="8"/>
      <c r="C30" s="8"/>
      <c r="D30" s="8"/>
      <c r="E30" s="8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/>
      <c r="B31" s="8"/>
      <c r="C31" s="8"/>
      <c r="D31" s="8"/>
      <c r="E31" s="8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/>
      <c r="B32" s="8"/>
      <c r="C32" s="8"/>
      <c r="D32" s="8"/>
      <c r="E32" s="8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/>
      <c r="B33" s="8"/>
      <c r="C33" s="8"/>
      <c r="D33" s="8"/>
      <c r="E33" s="8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/>
      <c r="B34" s="8"/>
      <c r="C34" s="8"/>
      <c r="D34" s="8"/>
      <c r="E34" s="8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/>
      <c r="B35" s="8"/>
      <c r="C35" s="8"/>
      <c r="D35" s="8"/>
      <c r="E35" s="8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/>
      <c r="B36" s="8"/>
      <c r="C36" s="8"/>
      <c r="D36" s="8"/>
      <c r="E36" s="8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/>
      <c r="B37" s="8"/>
      <c r="C37" s="8"/>
      <c r="D37" s="8"/>
      <c r="E37" s="8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/>
      <c r="B38" s="8"/>
      <c r="C38" s="8"/>
      <c r="D38" s="8"/>
      <c r="E38" s="8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/>
      <c r="B39" s="8"/>
      <c r="C39" s="8"/>
      <c r="D39" s="8"/>
      <c r="E39" s="8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/>
      <c r="B40" s="8"/>
      <c r="C40" s="8"/>
      <c r="D40" s="8"/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/>
      <c r="B41" s="8"/>
      <c r="C41" s="8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/>
      <c r="B42" s="8"/>
      <c r="C42" s="8"/>
      <c r="D42" s="8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/>
      <c r="B43" s="8"/>
      <c r="C43" s="8"/>
      <c r="D43" s="8"/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/>
      <c r="B44" s="8"/>
      <c r="C44" s="8"/>
      <c r="D44" s="8"/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/>
      <c r="B45" s="8"/>
      <c r="C45" s="8"/>
      <c r="D45" s="8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/>
      <c r="B46" s="8"/>
      <c r="C46" s="8"/>
      <c r="D46" s="8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/>
      <c r="B47" s="8"/>
      <c r="C47" s="8"/>
      <c r="D47" s="8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/>
      <c r="B48" s="8"/>
      <c r="C48" s="8"/>
      <c r="D48" s="8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/>
      <c r="B49" s="8"/>
      <c r="C49" s="8"/>
      <c r="D49" s="8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00"/>
  <sheetViews>
    <sheetView workbookViewId="0">
      <selection sqref="A1:K1"/>
    </sheetView>
  </sheetViews>
  <sheetFormatPr defaultRowHeight="14.25"/>
  <cols>
    <col min="1" max="1" width="25" customWidth="1"/>
    <col min="2" max="2" width="18" customWidth="1"/>
    <col min="3" max="3" width="13" customWidth="1"/>
    <col min="4" max="4" width="12" customWidth="1"/>
    <col min="5" max="5" width="14" customWidth="1"/>
    <col min="6" max="6" width="42" customWidth="1"/>
    <col min="7" max="7" width="18" customWidth="1"/>
    <col min="8" max="8" width="14" customWidth="1"/>
    <col min="9" max="9" width="28" customWidth="1"/>
    <col min="10" max="10" width="42" customWidth="1"/>
    <col min="11" max="11" width="28" customWidth="1"/>
  </cols>
  <sheetData>
    <row r="1" spans="1:26" ht="33.950000000000003" customHeight="1">
      <c r="A1" s="14" t="s">
        <v>152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153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42</v>
      </c>
      <c r="B4" s="1" t="s">
        <v>32</v>
      </c>
      <c r="C4" s="1" t="s">
        <v>43</v>
      </c>
      <c r="D4" s="1" t="s">
        <v>38</v>
      </c>
      <c r="E4" s="1" t="s">
        <v>44</v>
      </c>
      <c r="F4" s="1" t="s">
        <v>154</v>
      </c>
      <c r="G4" s="1" t="s">
        <v>49</v>
      </c>
      <c r="H4" s="1" t="s">
        <v>155</v>
      </c>
      <c r="I4" s="1" t="s">
        <v>156</v>
      </c>
      <c r="J4" s="1" t="s">
        <v>50</v>
      </c>
      <c r="K4" s="1" t="s">
        <v>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>
      <c r="A5" s="8" t="str">
        <f>BLOCK_CATALOG!A5</f>
        <v>D_UTILITIES_MANHOLE</v>
      </c>
      <c r="B5" s="8" t="str">
        <f>BLOCK_CATALOG!B5</f>
        <v>Utilities</v>
      </c>
      <c r="C5" s="8" t="str">
        <f>BLOCK_CATALOG!C5</f>
        <v>Dynamic</v>
      </c>
      <c r="D5" s="8" t="str">
        <f>BLOCK_CATALOG!E5</f>
        <v>2.1.0</v>
      </c>
      <c r="E5" s="8" t="str">
        <f>BLOCK_CATALOG!D5</f>
        <v>Production</v>
      </c>
      <c r="F5" s="8" t="str">
        <f>BLOCK_CATALOG!N5</f>
        <v>Standard utility manhole block.</v>
      </c>
      <c r="G5" s="8" t="str">
        <f>BLOCK_CATALOG!I5</f>
        <v>preview.png</v>
      </c>
      <c r="H5" s="7">
        <f>BLOCK_CATALOG!G5</f>
        <v>46190</v>
      </c>
      <c r="I5" s="8" t="s">
        <v>157</v>
      </c>
      <c r="J5" s="8" t="str">
        <f>BLOCK_CATALOG!J5</f>
        <v>BLOCKS-Release/Dynamic/Utilities/D_UTILITIES_MANHOLE/D_UTILITIES_MANHOLE.dwg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>
      <c r="A6" s="8" t="str">
        <f>BLOCK_CATALOG!A6</f>
        <v>D_UTILITIES_PEDESTAL</v>
      </c>
      <c r="B6" s="8" t="str">
        <f>BLOCK_CATALOG!B6</f>
        <v>Utilities</v>
      </c>
      <c r="C6" s="8" t="str">
        <f>BLOCK_CATALOG!C6</f>
        <v>Dynamic</v>
      </c>
      <c r="D6" s="8" t="str">
        <f>BLOCK_CATALOG!E6</f>
        <v>1.0.0</v>
      </c>
      <c r="E6" s="8" t="str">
        <f>BLOCK_CATALOG!D6</f>
        <v>Development</v>
      </c>
      <c r="F6" s="8" t="str">
        <f>BLOCK_CATALOG!N6</f>
        <v>Pedestal block with lookup/visibility states.</v>
      </c>
      <c r="G6" s="8" t="str">
        <f>BLOCK_CATALOG!I6</f>
        <v>preview.png</v>
      </c>
      <c r="H6" s="7">
        <f>BLOCK_CATALOG!G6</f>
        <v>0</v>
      </c>
      <c r="I6" s="8" t="s">
        <v>158</v>
      </c>
      <c r="J6" s="8" t="str">
        <f>BLOCK_CATALOG!J6</f>
        <v>BLOCKS-Dev/Dynamic/Utilities/D_UTILITIES_PEDESTAL/D_UTILITIES_PEDESTAL.dwg</v>
      </c>
      <c r="K6" s="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>
      <c r="A7" s="8" t="str">
        <f>BLOCK_CATALOG!A7</f>
        <v>S_UTILITIES_MANHOLE</v>
      </c>
      <c r="B7" s="8" t="str">
        <f>BLOCK_CATALOG!B7</f>
        <v>Utilities</v>
      </c>
      <c r="C7" s="8" t="str">
        <f>BLOCK_CATALOG!C7</f>
        <v>Static</v>
      </c>
      <c r="D7" s="8" t="str">
        <f>BLOCK_CATALOG!E7</f>
        <v>1.0.0</v>
      </c>
      <c r="E7" s="8" t="str">
        <f>BLOCK_CATALOG!D7</f>
        <v>Production</v>
      </c>
      <c r="F7" s="8" t="str">
        <f>BLOCK_CATALOG!N7</f>
        <v>Flat/static sharing-safe manhole block.</v>
      </c>
      <c r="G7" s="8" t="str">
        <f>BLOCK_CATALOG!I7</f>
        <v>preview.png</v>
      </c>
      <c r="H7" s="7">
        <f>BLOCK_CATALOG!G7</f>
        <v>46190</v>
      </c>
      <c r="I7" s="8" t="s">
        <v>159</v>
      </c>
      <c r="J7" s="8" t="str">
        <f>BLOCK_CATALOG!J7</f>
        <v>BLOCKS-Release/Static/Utilities/S_UTILITIES_MANHOLE/S_UTILITIES_MANHOLE.dwg</v>
      </c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>
      <c r="A8" s="8" t="str">
        <f>BLOCK_CATALOG!A8</f>
        <v>D_UTILITIES_VALVE</v>
      </c>
      <c r="B8" s="8" t="str">
        <f>BLOCK_CATALOG!B8</f>
        <v>Utilities</v>
      </c>
      <c r="C8" s="8" t="str">
        <f>BLOCK_CATALOG!C8</f>
        <v>Dynamic</v>
      </c>
      <c r="D8" s="8" t="str">
        <f>BLOCK_CATALOG!E8</f>
        <v>0.9.0</v>
      </c>
      <c r="E8" s="8" t="str">
        <f>BLOCK_CATALOG!D8</f>
        <v>Testing</v>
      </c>
      <c r="F8" s="8" t="str">
        <f>BLOCK_CATALOG!N8</f>
        <v>Testing before first production release.</v>
      </c>
      <c r="G8" s="8" t="str">
        <f>BLOCK_CATALOG!I8</f>
        <v>preview.png</v>
      </c>
      <c r="H8" s="7">
        <f>BLOCK_CATALOG!G8</f>
        <v>0</v>
      </c>
      <c r="I8" s="8" t="s">
        <v>160</v>
      </c>
      <c r="J8" s="8" t="str">
        <f>BLOCK_CATALOG!J8</f>
        <v>BLOCKS-Dev/Dynamic/Utilities/D_UTILITIES_VALVE/D_UTILITIES_VALVE.dwg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>
        <f>BLOCK_CATALOG!A9</f>
        <v>0</v>
      </c>
      <c r="B9" s="8">
        <f>BLOCK_CATALOG!B9</f>
        <v>0</v>
      </c>
      <c r="C9" s="8">
        <f>BLOCK_CATALOG!C9</f>
        <v>0</v>
      </c>
      <c r="D9" s="8">
        <f>BLOCK_CATALOG!E9</f>
        <v>0</v>
      </c>
      <c r="E9" s="8">
        <f>BLOCK_CATALOG!D9</f>
        <v>0</v>
      </c>
      <c r="F9" s="8">
        <f>BLOCK_CATALOG!N9</f>
        <v>0</v>
      </c>
      <c r="G9" s="8">
        <f>BLOCK_CATALOG!I9</f>
        <v>0</v>
      </c>
      <c r="H9" s="7">
        <f>BLOCK_CATALOG!G9</f>
        <v>0</v>
      </c>
      <c r="I9" s="8"/>
      <c r="J9" s="8">
        <f>BLOCK_CATALOG!J9</f>
        <v>0</v>
      </c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>
        <f>BLOCK_CATALOG!A10</f>
        <v>0</v>
      </c>
      <c r="B10" s="8">
        <f>BLOCK_CATALOG!B10</f>
        <v>0</v>
      </c>
      <c r="C10" s="8">
        <f>BLOCK_CATALOG!C10</f>
        <v>0</v>
      </c>
      <c r="D10" s="8">
        <f>BLOCK_CATALOG!E10</f>
        <v>0</v>
      </c>
      <c r="E10" s="8">
        <f>BLOCK_CATALOG!D10</f>
        <v>0</v>
      </c>
      <c r="F10" s="8">
        <f>BLOCK_CATALOG!N10</f>
        <v>0</v>
      </c>
      <c r="G10" s="8">
        <f>BLOCK_CATALOG!I10</f>
        <v>0</v>
      </c>
      <c r="H10" s="7">
        <f>BLOCK_CATALOG!G10</f>
        <v>0</v>
      </c>
      <c r="I10" s="8"/>
      <c r="J10" s="8">
        <f>BLOCK_CATALOG!J10</f>
        <v>0</v>
      </c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>
        <f>BLOCK_CATALOG!A11</f>
        <v>0</v>
      </c>
      <c r="B11" s="8">
        <f>BLOCK_CATALOG!B11</f>
        <v>0</v>
      </c>
      <c r="C11" s="8">
        <f>BLOCK_CATALOG!C11</f>
        <v>0</v>
      </c>
      <c r="D11" s="8">
        <f>BLOCK_CATALOG!E11</f>
        <v>0</v>
      </c>
      <c r="E11" s="8">
        <f>BLOCK_CATALOG!D11</f>
        <v>0</v>
      </c>
      <c r="F11" s="8">
        <f>BLOCK_CATALOG!N11</f>
        <v>0</v>
      </c>
      <c r="G11" s="8">
        <f>BLOCK_CATALOG!I11</f>
        <v>0</v>
      </c>
      <c r="H11" s="7">
        <f>BLOCK_CATALOG!G11</f>
        <v>0</v>
      </c>
      <c r="I11" s="8"/>
      <c r="J11" s="8">
        <f>BLOCK_CATALOG!J11</f>
        <v>0</v>
      </c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>
        <f>BLOCK_CATALOG!A12</f>
        <v>0</v>
      </c>
      <c r="B12" s="8">
        <f>BLOCK_CATALOG!B12</f>
        <v>0</v>
      </c>
      <c r="C12" s="8">
        <f>BLOCK_CATALOG!C12</f>
        <v>0</v>
      </c>
      <c r="D12" s="8">
        <f>BLOCK_CATALOG!E12</f>
        <v>0</v>
      </c>
      <c r="E12" s="8">
        <f>BLOCK_CATALOG!D12</f>
        <v>0</v>
      </c>
      <c r="F12" s="8">
        <f>BLOCK_CATALOG!N12</f>
        <v>0</v>
      </c>
      <c r="G12" s="8">
        <f>BLOCK_CATALOG!I12</f>
        <v>0</v>
      </c>
      <c r="H12" s="7">
        <f>BLOCK_CATALOG!G12</f>
        <v>0</v>
      </c>
      <c r="I12" s="8"/>
      <c r="J12" s="8">
        <f>BLOCK_CATALOG!J12</f>
        <v>0</v>
      </c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>
        <f>BLOCK_CATALOG!A13</f>
        <v>0</v>
      </c>
      <c r="B13" s="8">
        <f>BLOCK_CATALOG!B13</f>
        <v>0</v>
      </c>
      <c r="C13" s="8">
        <f>BLOCK_CATALOG!C13</f>
        <v>0</v>
      </c>
      <c r="D13" s="8">
        <f>BLOCK_CATALOG!E13</f>
        <v>0</v>
      </c>
      <c r="E13" s="8">
        <f>BLOCK_CATALOG!D13</f>
        <v>0</v>
      </c>
      <c r="F13" s="8">
        <f>BLOCK_CATALOG!N13</f>
        <v>0</v>
      </c>
      <c r="G13" s="8">
        <f>BLOCK_CATALOG!I13</f>
        <v>0</v>
      </c>
      <c r="H13" s="7">
        <f>BLOCK_CATALOG!G13</f>
        <v>0</v>
      </c>
      <c r="I13" s="8"/>
      <c r="J13" s="8">
        <f>BLOCK_CATALOG!J13</f>
        <v>0</v>
      </c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>
        <f>BLOCK_CATALOG!A14</f>
        <v>0</v>
      </c>
      <c r="B14" s="8">
        <f>BLOCK_CATALOG!B14</f>
        <v>0</v>
      </c>
      <c r="C14" s="8">
        <f>BLOCK_CATALOG!C14</f>
        <v>0</v>
      </c>
      <c r="D14" s="8">
        <f>BLOCK_CATALOG!E14</f>
        <v>0</v>
      </c>
      <c r="E14" s="8">
        <f>BLOCK_CATALOG!D14</f>
        <v>0</v>
      </c>
      <c r="F14" s="8">
        <f>BLOCK_CATALOG!N14</f>
        <v>0</v>
      </c>
      <c r="G14" s="8">
        <f>BLOCK_CATALOG!I14</f>
        <v>0</v>
      </c>
      <c r="H14" s="7">
        <f>BLOCK_CATALOG!G14</f>
        <v>0</v>
      </c>
      <c r="I14" s="8"/>
      <c r="J14" s="8">
        <f>BLOCK_CATALOG!J14</f>
        <v>0</v>
      </c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>
        <f>BLOCK_CATALOG!A15</f>
        <v>0</v>
      </c>
      <c r="B15" s="8">
        <f>BLOCK_CATALOG!B15</f>
        <v>0</v>
      </c>
      <c r="C15" s="8">
        <f>BLOCK_CATALOG!C15</f>
        <v>0</v>
      </c>
      <c r="D15" s="8">
        <f>BLOCK_CATALOG!E15</f>
        <v>0</v>
      </c>
      <c r="E15" s="8">
        <f>BLOCK_CATALOG!D15</f>
        <v>0</v>
      </c>
      <c r="F15" s="8">
        <f>BLOCK_CATALOG!N15</f>
        <v>0</v>
      </c>
      <c r="G15" s="8">
        <f>BLOCK_CATALOG!I15</f>
        <v>0</v>
      </c>
      <c r="H15" s="7">
        <f>BLOCK_CATALOG!G15</f>
        <v>0</v>
      </c>
      <c r="I15" s="8"/>
      <c r="J15" s="8">
        <f>BLOCK_CATALOG!J15</f>
        <v>0</v>
      </c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>
        <f>BLOCK_CATALOG!A16</f>
        <v>0</v>
      </c>
      <c r="B16" s="8">
        <f>BLOCK_CATALOG!B16</f>
        <v>0</v>
      </c>
      <c r="C16" s="8">
        <f>BLOCK_CATALOG!C16</f>
        <v>0</v>
      </c>
      <c r="D16" s="8">
        <f>BLOCK_CATALOG!E16</f>
        <v>0</v>
      </c>
      <c r="E16" s="8">
        <f>BLOCK_CATALOG!D16</f>
        <v>0</v>
      </c>
      <c r="F16" s="8">
        <f>BLOCK_CATALOG!N16</f>
        <v>0</v>
      </c>
      <c r="G16" s="8">
        <f>BLOCK_CATALOG!I16</f>
        <v>0</v>
      </c>
      <c r="H16" s="7">
        <f>BLOCK_CATALOG!G16</f>
        <v>0</v>
      </c>
      <c r="I16" s="8"/>
      <c r="J16" s="8">
        <f>BLOCK_CATALOG!J16</f>
        <v>0</v>
      </c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>
        <f>BLOCK_CATALOG!A17</f>
        <v>0</v>
      </c>
      <c r="B17" s="8">
        <f>BLOCK_CATALOG!B17</f>
        <v>0</v>
      </c>
      <c r="C17" s="8">
        <f>BLOCK_CATALOG!C17</f>
        <v>0</v>
      </c>
      <c r="D17" s="8">
        <f>BLOCK_CATALOG!E17</f>
        <v>0</v>
      </c>
      <c r="E17" s="8">
        <f>BLOCK_CATALOG!D17</f>
        <v>0</v>
      </c>
      <c r="F17" s="8">
        <f>BLOCK_CATALOG!N17</f>
        <v>0</v>
      </c>
      <c r="G17" s="8">
        <f>BLOCK_CATALOG!I17</f>
        <v>0</v>
      </c>
      <c r="H17" s="7">
        <f>BLOCK_CATALOG!G17</f>
        <v>0</v>
      </c>
      <c r="I17" s="8"/>
      <c r="J17" s="8">
        <f>BLOCK_CATALOG!J17</f>
        <v>0</v>
      </c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>
        <f>BLOCK_CATALOG!A18</f>
        <v>0</v>
      </c>
      <c r="B18" s="8">
        <f>BLOCK_CATALOG!B18</f>
        <v>0</v>
      </c>
      <c r="C18" s="8">
        <f>BLOCK_CATALOG!C18</f>
        <v>0</v>
      </c>
      <c r="D18" s="8">
        <f>BLOCK_CATALOG!E18</f>
        <v>0</v>
      </c>
      <c r="E18" s="8">
        <f>BLOCK_CATALOG!D18</f>
        <v>0</v>
      </c>
      <c r="F18" s="8">
        <f>BLOCK_CATALOG!N18</f>
        <v>0</v>
      </c>
      <c r="G18" s="8">
        <f>BLOCK_CATALOG!I18</f>
        <v>0</v>
      </c>
      <c r="H18" s="7">
        <f>BLOCK_CATALOG!G18</f>
        <v>0</v>
      </c>
      <c r="I18" s="8"/>
      <c r="J18" s="8">
        <f>BLOCK_CATALOG!J18</f>
        <v>0</v>
      </c>
      <c r="K18" s="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>
        <f>BLOCK_CATALOG!A19</f>
        <v>0</v>
      </c>
      <c r="B19" s="8">
        <f>BLOCK_CATALOG!B19</f>
        <v>0</v>
      </c>
      <c r="C19" s="8">
        <f>BLOCK_CATALOG!C19</f>
        <v>0</v>
      </c>
      <c r="D19" s="8">
        <f>BLOCK_CATALOG!E19</f>
        <v>0</v>
      </c>
      <c r="E19" s="8">
        <f>BLOCK_CATALOG!D19</f>
        <v>0</v>
      </c>
      <c r="F19" s="8">
        <f>BLOCK_CATALOG!N19</f>
        <v>0</v>
      </c>
      <c r="G19" s="8">
        <f>BLOCK_CATALOG!I19</f>
        <v>0</v>
      </c>
      <c r="H19" s="7">
        <f>BLOCK_CATALOG!G19</f>
        <v>0</v>
      </c>
      <c r="I19" s="8"/>
      <c r="J19" s="8">
        <f>BLOCK_CATALOG!J19</f>
        <v>0</v>
      </c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>
        <f>BLOCK_CATALOG!A20</f>
        <v>0</v>
      </c>
      <c r="B20" s="8">
        <f>BLOCK_CATALOG!B20</f>
        <v>0</v>
      </c>
      <c r="C20" s="8">
        <f>BLOCK_CATALOG!C20</f>
        <v>0</v>
      </c>
      <c r="D20" s="8">
        <f>BLOCK_CATALOG!E20</f>
        <v>0</v>
      </c>
      <c r="E20" s="8">
        <f>BLOCK_CATALOG!D20</f>
        <v>0</v>
      </c>
      <c r="F20" s="8">
        <f>BLOCK_CATALOG!N20</f>
        <v>0</v>
      </c>
      <c r="G20" s="8">
        <f>BLOCK_CATALOG!I20</f>
        <v>0</v>
      </c>
      <c r="H20" s="7">
        <f>BLOCK_CATALOG!G20</f>
        <v>0</v>
      </c>
      <c r="I20" s="8"/>
      <c r="J20" s="8">
        <f>BLOCK_CATALOG!J20</f>
        <v>0</v>
      </c>
      <c r="K20" s="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>
        <f>BLOCK_CATALOG!A21</f>
        <v>0</v>
      </c>
      <c r="B21" s="8">
        <f>BLOCK_CATALOG!B21</f>
        <v>0</v>
      </c>
      <c r="C21" s="8">
        <f>BLOCK_CATALOG!C21</f>
        <v>0</v>
      </c>
      <c r="D21" s="8">
        <f>BLOCK_CATALOG!E21</f>
        <v>0</v>
      </c>
      <c r="E21" s="8">
        <f>BLOCK_CATALOG!D21</f>
        <v>0</v>
      </c>
      <c r="F21" s="8">
        <f>BLOCK_CATALOG!N21</f>
        <v>0</v>
      </c>
      <c r="G21" s="8">
        <f>BLOCK_CATALOG!I21</f>
        <v>0</v>
      </c>
      <c r="H21" s="7">
        <f>BLOCK_CATALOG!G21</f>
        <v>0</v>
      </c>
      <c r="I21" s="8"/>
      <c r="J21" s="8">
        <f>BLOCK_CATALOG!J21</f>
        <v>0</v>
      </c>
      <c r="K21" s="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>
        <f>BLOCK_CATALOG!A22</f>
        <v>0</v>
      </c>
      <c r="B22" s="8">
        <f>BLOCK_CATALOG!B22</f>
        <v>0</v>
      </c>
      <c r="C22" s="8">
        <f>BLOCK_CATALOG!C22</f>
        <v>0</v>
      </c>
      <c r="D22" s="8">
        <f>BLOCK_CATALOG!E22</f>
        <v>0</v>
      </c>
      <c r="E22" s="8">
        <f>BLOCK_CATALOG!D22</f>
        <v>0</v>
      </c>
      <c r="F22" s="8">
        <f>BLOCK_CATALOG!N22</f>
        <v>0</v>
      </c>
      <c r="G22" s="8">
        <f>BLOCK_CATALOG!I22</f>
        <v>0</v>
      </c>
      <c r="H22" s="7">
        <f>BLOCK_CATALOG!G22</f>
        <v>0</v>
      </c>
      <c r="I22" s="8"/>
      <c r="J22" s="8">
        <f>BLOCK_CATALOG!J22</f>
        <v>0</v>
      </c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>
        <f>BLOCK_CATALOG!A23</f>
        <v>0</v>
      </c>
      <c r="B23" s="8">
        <f>BLOCK_CATALOG!B23</f>
        <v>0</v>
      </c>
      <c r="C23" s="8">
        <f>BLOCK_CATALOG!C23</f>
        <v>0</v>
      </c>
      <c r="D23" s="8">
        <f>BLOCK_CATALOG!E23</f>
        <v>0</v>
      </c>
      <c r="E23" s="8">
        <f>BLOCK_CATALOG!D23</f>
        <v>0</v>
      </c>
      <c r="F23" s="8">
        <f>BLOCK_CATALOG!N23</f>
        <v>0</v>
      </c>
      <c r="G23" s="8">
        <f>BLOCK_CATALOG!I23</f>
        <v>0</v>
      </c>
      <c r="H23" s="7">
        <f>BLOCK_CATALOG!G23</f>
        <v>0</v>
      </c>
      <c r="I23" s="8"/>
      <c r="J23" s="8">
        <f>BLOCK_CATALOG!J23</f>
        <v>0</v>
      </c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>
        <f>BLOCK_CATALOG!A24</f>
        <v>0</v>
      </c>
      <c r="B24" s="8">
        <f>BLOCK_CATALOG!B24</f>
        <v>0</v>
      </c>
      <c r="C24" s="8">
        <f>BLOCK_CATALOG!C24</f>
        <v>0</v>
      </c>
      <c r="D24" s="8">
        <f>BLOCK_CATALOG!E24</f>
        <v>0</v>
      </c>
      <c r="E24" s="8">
        <f>BLOCK_CATALOG!D24</f>
        <v>0</v>
      </c>
      <c r="F24" s="8">
        <f>BLOCK_CATALOG!N24</f>
        <v>0</v>
      </c>
      <c r="G24" s="8">
        <f>BLOCK_CATALOG!I24</f>
        <v>0</v>
      </c>
      <c r="H24" s="7">
        <f>BLOCK_CATALOG!G24</f>
        <v>0</v>
      </c>
      <c r="I24" s="8"/>
      <c r="J24" s="8">
        <f>BLOCK_CATALOG!J24</f>
        <v>0</v>
      </c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>
        <f>BLOCK_CATALOG!A25</f>
        <v>0</v>
      </c>
      <c r="B25" s="8">
        <f>BLOCK_CATALOG!B25</f>
        <v>0</v>
      </c>
      <c r="C25" s="8">
        <f>BLOCK_CATALOG!C25</f>
        <v>0</v>
      </c>
      <c r="D25" s="8">
        <f>BLOCK_CATALOG!E25</f>
        <v>0</v>
      </c>
      <c r="E25" s="8">
        <f>BLOCK_CATALOG!D25</f>
        <v>0</v>
      </c>
      <c r="F25" s="8">
        <f>BLOCK_CATALOG!N25</f>
        <v>0</v>
      </c>
      <c r="G25" s="8">
        <f>BLOCK_CATALOG!I25</f>
        <v>0</v>
      </c>
      <c r="H25" s="7">
        <f>BLOCK_CATALOG!G25</f>
        <v>0</v>
      </c>
      <c r="I25" s="8"/>
      <c r="J25" s="8">
        <f>BLOCK_CATALOG!J25</f>
        <v>0</v>
      </c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>
        <f>BLOCK_CATALOG!A26</f>
        <v>0</v>
      </c>
      <c r="B26" s="8">
        <f>BLOCK_CATALOG!B26</f>
        <v>0</v>
      </c>
      <c r="C26" s="8">
        <f>BLOCK_CATALOG!C26</f>
        <v>0</v>
      </c>
      <c r="D26" s="8">
        <f>BLOCK_CATALOG!E26</f>
        <v>0</v>
      </c>
      <c r="E26" s="8">
        <f>BLOCK_CATALOG!D26</f>
        <v>0</v>
      </c>
      <c r="F26" s="8">
        <f>BLOCK_CATALOG!N26</f>
        <v>0</v>
      </c>
      <c r="G26" s="8">
        <f>BLOCK_CATALOG!I26</f>
        <v>0</v>
      </c>
      <c r="H26" s="7">
        <f>BLOCK_CATALOG!G26</f>
        <v>0</v>
      </c>
      <c r="I26" s="8"/>
      <c r="J26" s="8">
        <f>BLOCK_CATALOG!J26</f>
        <v>0</v>
      </c>
      <c r="K26" s="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>
        <f>BLOCK_CATALOG!A27</f>
        <v>0</v>
      </c>
      <c r="B27" s="8">
        <f>BLOCK_CATALOG!B27</f>
        <v>0</v>
      </c>
      <c r="C27" s="8">
        <f>BLOCK_CATALOG!C27</f>
        <v>0</v>
      </c>
      <c r="D27" s="8">
        <f>BLOCK_CATALOG!E27</f>
        <v>0</v>
      </c>
      <c r="E27" s="8">
        <f>BLOCK_CATALOG!D27</f>
        <v>0</v>
      </c>
      <c r="F27" s="8">
        <f>BLOCK_CATALOG!N27</f>
        <v>0</v>
      </c>
      <c r="G27" s="8">
        <f>BLOCK_CATALOG!I27</f>
        <v>0</v>
      </c>
      <c r="H27" s="7">
        <f>BLOCK_CATALOG!G27</f>
        <v>0</v>
      </c>
      <c r="I27" s="8"/>
      <c r="J27" s="8">
        <f>BLOCK_CATALOG!J27</f>
        <v>0</v>
      </c>
      <c r="K27" s="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>
        <f>BLOCK_CATALOG!A28</f>
        <v>0</v>
      </c>
      <c r="B28" s="8">
        <f>BLOCK_CATALOG!B28</f>
        <v>0</v>
      </c>
      <c r="C28" s="8">
        <f>BLOCK_CATALOG!C28</f>
        <v>0</v>
      </c>
      <c r="D28" s="8">
        <f>BLOCK_CATALOG!E28</f>
        <v>0</v>
      </c>
      <c r="E28" s="8">
        <f>BLOCK_CATALOG!D28</f>
        <v>0</v>
      </c>
      <c r="F28" s="8">
        <f>BLOCK_CATALOG!N28</f>
        <v>0</v>
      </c>
      <c r="G28" s="8">
        <f>BLOCK_CATALOG!I28</f>
        <v>0</v>
      </c>
      <c r="H28" s="7">
        <f>BLOCK_CATALOG!G28</f>
        <v>0</v>
      </c>
      <c r="I28" s="8"/>
      <c r="J28" s="8">
        <f>BLOCK_CATALOG!J28</f>
        <v>0</v>
      </c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>
        <f>BLOCK_CATALOG!A29</f>
        <v>0</v>
      </c>
      <c r="B29" s="8">
        <f>BLOCK_CATALOG!B29</f>
        <v>0</v>
      </c>
      <c r="C29" s="8">
        <f>BLOCK_CATALOG!C29</f>
        <v>0</v>
      </c>
      <c r="D29" s="8">
        <f>BLOCK_CATALOG!E29</f>
        <v>0</v>
      </c>
      <c r="E29" s="8">
        <f>BLOCK_CATALOG!D29</f>
        <v>0</v>
      </c>
      <c r="F29" s="8">
        <f>BLOCK_CATALOG!N29</f>
        <v>0</v>
      </c>
      <c r="G29" s="8">
        <f>BLOCK_CATALOG!I29</f>
        <v>0</v>
      </c>
      <c r="H29" s="7">
        <f>BLOCK_CATALOG!G29</f>
        <v>0</v>
      </c>
      <c r="I29" s="8"/>
      <c r="J29" s="8">
        <f>BLOCK_CATALOG!J29</f>
        <v>0</v>
      </c>
      <c r="K29" s="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>
        <f>BLOCK_CATALOG!A30</f>
        <v>0</v>
      </c>
      <c r="B30" s="8">
        <f>BLOCK_CATALOG!B30</f>
        <v>0</v>
      </c>
      <c r="C30" s="8">
        <f>BLOCK_CATALOG!C30</f>
        <v>0</v>
      </c>
      <c r="D30" s="8">
        <f>BLOCK_CATALOG!E30</f>
        <v>0</v>
      </c>
      <c r="E30" s="8">
        <f>BLOCK_CATALOG!D30</f>
        <v>0</v>
      </c>
      <c r="F30" s="8">
        <f>BLOCK_CATALOG!N30</f>
        <v>0</v>
      </c>
      <c r="G30" s="8">
        <f>BLOCK_CATALOG!I30</f>
        <v>0</v>
      </c>
      <c r="H30" s="7">
        <f>BLOCK_CATALOG!G30</f>
        <v>0</v>
      </c>
      <c r="I30" s="8"/>
      <c r="J30" s="8">
        <f>BLOCK_CATALOG!J30</f>
        <v>0</v>
      </c>
      <c r="K30" s="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>
        <f>BLOCK_CATALOG!A31</f>
        <v>0</v>
      </c>
      <c r="B31" s="8">
        <f>BLOCK_CATALOG!B31</f>
        <v>0</v>
      </c>
      <c r="C31" s="8">
        <f>BLOCK_CATALOG!C31</f>
        <v>0</v>
      </c>
      <c r="D31" s="8">
        <f>BLOCK_CATALOG!E31</f>
        <v>0</v>
      </c>
      <c r="E31" s="8">
        <f>BLOCK_CATALOG!D31</f>
        <v>0</v>
      </c>
      <c r="F31" s="8">
        <f>BLOCK_CATALOG!N31</f>
        <v>0</v>
      </c>
      <c r="G31" s="8">
        <f>BLOCK_CATALOG!I31</f>
        <v>0</v>
      </c>
      <c r="H31" s="7">
        <f>BLOCK_CATALOG!G31</f>
        <v>0</v>
      </c>
      <c r="I31" s="8"/>
      <c r="J31" s="8">
        <f>BLOCK_CATALOG!J31</f>
        <v>0</v>
      </c>
      <c r="K31" s="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>
        <f>BLOCK_CATALOG!A32</f>
        <v>0</v>
      </c>
      <c r="B32" s="8">
        <f>BLOCK_CATALOG!B32</f>
        <v>0</v>
      </c>
      <c r="C32" s="8">
        <f>BLOCK_CATALOG!C32</f>
        <v>0</v>
      </c>
      <c r="D32" s="8">
        <f>BLOCK_CATALOG!E32</f>
        <v>0</v>
      </c>
      <c r="E32" s="8">
        <f>BLOCK_CATALOG!D32</f>
        <v>0</v>
      </c>
      <c r="F32" s="8">
        <f>BLOCK_CATALOG!N32</f>
        <v>0</v>
      </c>
      <c r="G32" s="8">
        <f>BLOCK_CATALOG!I32</f>
        <v>0</v>
      </c>
      <c r="H32" s="7">
        <f>BLOCK_CATALOG!G32</f>
        <v>0</v>
      </c>
      <c r="I32" s="8"/>
      <c r="J32" s="8">
        <f>BLOCK_CATALOG!J32</f>
        <v>0</v>
      </c>
      <c r="K32" s="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>
        <f>BLOCK_CATALOG!A33</f>
        <v>0</v>
      </c>
      <c r="B33" s="8">
        <f>BLOCK_CATALOG!B33</f>
        <v>0</v>
      </c>
      <c r="C33" s="8">
        <f>BLOCK_CATALOG!C33</f>
        <v>0</v>
      </c>
      <c r="D33" s="8">
        <f>BLOCK_CATALOG!E33</f>
        <v>0</v>
      </c>
      <c r="E33" s="8">
        <f>BLOCK_CATALOG!D33</f>
        <v>0</v>
      </c>
      <c r="F33" s="8">
        <f>BLOCK_CATALOG!N33</f>
        <v>0</v>
      </c>
      <c r="G33" s="8">
        <f>BLOCK_CATALOG!I33</f>
        <v>0</v>
      </c>
      <c r="H33" s="7">
        <f>BLOCK_CATALOG!G33</f>
        <v>0</v>
      </c>
      <c r="I33" s="8"/>
      <c r="J33" s="8">
        <f>BLOCK_CATALOG!J33</f>
        <v>0</v>
      </c>
      <c r="K33" s="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>
        <f>BLOCK_CATALOG!A34</f>
        <v>0</v>
      </c>
      <c r="B34" s="8">
        <f>BLOCK_CATALOG!B34</f>
        <v>0</v>
      </c>
      <c r="C34" s="8">
        <f>BLOCK_CATALOG!C34</f>
        <v>0</v>
      </c>
      <c r="D34" s="8">
        <f>BLOCK_CATALOG!E34</f>
        <v>0</v>
      </c>
      <c r="E34" s="8">
        <f>BLOCK_CATALOG!D34</f>
        <v>0</v>
      </c>
      <c r="F34" s="8">
        <f>BLOCK_CATALOG!N34</f>
        <v>0</v>
      </c>
      <c r="G34" s="8">
        <f>BLOCK_CATALOG!I34</f>
        <v>0</v>
      </c>
      <c r="H34" s="7">
        <f>BLOCK_CATALOG!G34</f>
        <v>0</v>
      </c>
      <c r="I34" s="8"/>
      <c r="J34" s="8">
        <f>BLOCK_CATALOG!J34</f>
        <v>0</v>
      </c>
      <c r="K34" s="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>
        <f>BLOCK_CATALOG!A35</f>
        <v>0</v>
      </c>
      <c r="B35" s="8">
        <f>BLOCK_CATALOG!B35</f>
        <v>0</v>
      </c>
      <c r="C35" s="8">
        <f>BLOCK_CATALOG!C35</f>
        <v>0</v>
      </c>
      <c r="D35" s="8">
        <f>BLOCK_CATALOG!E35</f>
        <v>0</v>
      </c>
      <c r="E35" s="8">
        <f>BLOCK_CATALOG!D35</f>
        <v>0</v>
      </c>
      <c r="F35" s="8">
        <f>BLOCK_CATALOG!N35</f>
        <v>0</v>
      </c>
      <c r="G35" s="8">
        <f>BLOCK_CATALOG!I35</f>
        <v>0</v>
      </c>
      <c r="H35" s="7">
        <f>BLOCK_CATALOG!G35</f>
        <v>0</v>
      </c>
      <c r="I35" s="8"/>
      <c r="J35" s="8">
        <f>BLOCK_CATALOG!J35</f>
        <v>0</v>
      </c>
      <c r="K35" s="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>
        <f>BLOCK_CATALOG!A36</f>
        <v>0</v>
      </c>
      <c r="B36" s="8">
        <f>BLOCK_CATALOG!B36</f>
        <v>0</v>
      </c>
      <c r="C36" s="8">
        <f>BLOCK_CATALOG!C36</f>
        <v>0</v>
      </c>
      <c r="D36" s="8">
        <f>BLOCK_CATALOG!E36</f>
        <v>0</v>
      </c>
      <c r="E36" s="8">
        <f>BLOCK_CATALOG!D36</f>
        <v>0</v>
      </c>
      <c r="F36" s="8">
        <f>BLOCK_CATALOG!N36</f>
        <v>0</v>
      </c>
      <c r="G36" s="8">
        <f>BLOCK_CATALOG!I36</f>
        <v>0</v>
      </c>
      <c r="H36" s="7">
        <f>BLOCK_CATALOG!G36</f>
        <v>0</v>
      </c>
      <c r="I36" s="8"/>
      <c r="J36" s="8">
        <f>BLOCK_CATALOG!J36</f>
        <v>0</v>
      </c>
      <c r="K36" s="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>
        <f>BLOCK_CATALOG!A37</f>
        <v>0</v>
      </c>
      <c r="B37" s="8">
        <f>BLOCK_CATALOG!B37</f>
        <v>0</v>
      </c>
      <c r="C37" s="8">
        <f>BLOCK_CATALOG!C37</f>
        <v>0</v>
      </c>
      <c r="D37" s="8">
        <f>BLOCK_CATALOG!E37</f>
        <v>0</v>
      </c>
      <c r="E37" s="8">
        <f>BLOCK_CATALOG!D37</f>
        <v>0</v>
      </c>
      <c r="F37" s="8">
        <f>BLOCK_CATALOG!N37</f>
        <v>0</v>
      </c>
      <c r="G37" s="8">
        <f>BLOCK_CATALOG!I37</f>
        <v>0</v>
      </c>
      <c r="H37" s="7">
        <f>BLOCK_CATALOG!G37</f>
        <v>0</v>
      </c>
      <c r="I37" s="8"/>
      <c r="J37" s="8">
        <f>BLOCK_CATALOG!J37</f>
        <v>0</v>
      </c>
      <c r="K37" s="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>
        <f>BLOCK_CATALOG!A38</f>
        <v>0</v>
      </c>
      <c r="B38" s="8">
        <f>BLOCK_CATALOG!B38</f>
        <v>0</v>
      </c>
      <c r="C38" s="8">
        <f>BLOCK_CATALOG!C38</f>
        <v>0</v>
      </c>
      <c r="D38" s="8">
        <f>BLOCK_CATALOG!E38</f>
        <v>0</v>
      </c>
      <c r="E38" s="8">
        <f>BLOCK_CATALOG!D38</f>
        <v>0</v>
      </c>
      <c r="F38" s="8">
        <f>BLOCK_CATALOG!N38</f>
        <v>0</v>
      </c>
      <c r="G38" s="8">
        <f>BLOCK_CATALOG!I38</f>
        <v>0</v>
      </c>
      <c r="H38" s="7">
        <f>BLOCK_CATALOG!G38</f>
        <v>0</v>
      </c>
      <c r="I38" s="8"/>
      <c r="J38" s="8">
        <f>BLOCK_CATALOG!J38</f>
        <v>0</v>
      </c>
      <c r="K38" s="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>
        <f>BLOCK_CATALOG!A39</f>
        <v>0</v>
      </c>
      <c r="B39" s="8">
        <f>BLOCK_CATALOG!B39</f>
        <v>0</v>
      </c>
      <c r="C39" s="8">
        <f>BLOCK_CATALOG!C39</f>
        <v>0</v>
      </c>
      <c r="D39" s="8">
        <f>BLOCK_CATALOG!E39</f>
        <v>0</v>
      </c>
      <c r="E39" s="8">
        <f>BLOCK_CATALOG!D39</f>
        <v>0</v>
      </c>
      <c r="F39" s="8">
        <f>BLOCK_CATALOG!N39</f>
        <v>0</v>
      </c>
      <c r="G39" s="8">
        <f>BLOCK_CATALOG!I39</f>
        <v>0</v>
      </c>
      <c r="H39" s="7">
        <f>BLOCK_CATALOG!G39</f>
        <v>0</v>
      </c>
      <c r="I39" s="8"/>
      <c r="J39" s="8">
        <f>BLOCK_CATALOG!J39</f>
        <v>0</v>
      </c>
      <c r="K39" s="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>
        <f>BLOCK_CATALOG!A40</f>
        <v>0</v>
      </c>
      <c r="B40" s="8">
        <f>BLOCK_CATALOG!B40</f>
        <v>0</v>
      </c>
      <c r="C40" s="8">
        <f>BLOCK_CATALOG!C40</f>
        <v>0</v>
      </c>
      <c r="D40" s="8">
        <f>BLOCK_CATALOG!E40</f>
        <v>0</v>
      </c>
      <c r="E40" s="8">
        <f>BLOCK_CATALOG!D40</f>
        <v>0</v>
      </c>
      <c r="F40" s="8">
        <f>BLOCK_CATALOG!N40</f>
        <v>0</v>
      </c>
      <c r="G40" s="8">
        <f>BLOCK_CATALOG!I40</f>
        <v>0</v>
      </c>
      <c r="H40" s="7">
        <f>BLOCK_CATALOG!G40</f>
        <v>0</v>
      </c>
      <c r="I40" s="8"/>
      <c r="J40" s="8">
        <f>BLOCK_CATALOG!J40</f>
        <v>0</v>
      </c>
      <c r="K40" s="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>
        <f>BLOCK_CATALOG!A41</f>
        <v>0</v>
      </c>
      <c r="B41" s="8">
        <f>BLOCK_CATALOG!B41</f>
        <v>0</v>
      </c>
      <c r="C41" s="8">
        <f>BLOCK_CATALOG!C41</f>
        <v>0</v>
      </c>
      <c r="D41" s="8">
        <f>BLOCK_CATALOG!E41</f>
        <v>0</v>
      </c>
      <c r="E41" s="8">
        <f>BLOCK_CATALOG!D41</f>
        <v>0</v>
      </c>
      <c r="F41" s="8">
        <f>BLOCK_CATALOG!N41</f>
        <v>0</v>
      </c>
      <c r="G41" s="8">
        <f>BLOCK_CATALOG!I41</f>
        <v>0</v>
      </c>
      <c r="H41" s="7">
        <f>BLOCK_CATALOG!G41</f>
        <v>0</v>
      </c>
      <c r="I41" s="8"/>
      <c r="J41" s="8">
        <f>BLOCK_CATALOG!J41</f>
        <v>0</v>
      </c>
      <c r="K41" s="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>
        <f>BLOCK_CATALOG!A42</f>
        <v>0</v>
      </c>
      <c r="B42" s="8">
        <f>BLOCK_CATALOG!B42</f>
        <v>0</v>
      </c>
      <c r="C42" s="8">
        <f>BLOCK_CATALOG!C42</f>
        <v>0</v>
      </c>
      <c r="D42" s="8">
        <f>BLOCK_CATALOG!E42</f>
        <v>0</v>
      </c>
      <c r="E42" s="8">
        <f>BLOCK_CATALOG!D42</f>
        <v>0</v>
      </c>
      <c r="F42" s="8">
        <f>BLOCK_CATALOG!N42</f>
        <v>0</v>
      </c>
      <c r="G42" s="8">
        <f>BLOCK_CATALOG!I42</f>
        <v>0</v>
      </c>
      <c r="H42" s="7">
        <f>BLOCK_CATALOG!G42</f>
        <v>0</v>
      </c>
      <c r="I42" s="8"/>
      <c r="J42" s="8">
        <f>BLOCK_CATALOG!J42</f>
        <v>0</v>
      </c>
      <c r="K42" s="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>
        <f>BLOCK_CATALOG!A43</f>
        <v>0</v>
      </c>
      <c r="B43" s="8">
        <f>BLOCK_CATALOG!B43</f>
        <v>0</v>
      </c>
      <c r="C43" s="8">
        <f>BLOCK_CATALOG!C43</f>
        <v>0</v>
      </c>
      <c r="D43" s="8">
        <f>BLOCK_CATALOG!E43</f>
        <v>0</v>
      </c>
      <c r="E43" s="8">
        <f>BLOCK_CATALOG!D43</f>
        <v>0</v>
      </c>
      <c r="F43" s="8">
        <f>BLOCK_CATALOG!N43</f>
        <v>0</v>
      </c>
      <c r="G43" s="8">
        <f>BLOCK_CATALOG!I43</f>
        <v>0</v>
      </c>
      <c r="H43" s="7">
        <f>BLOCK_CATALOG!G43</f>
        <v>0</v>
      </c>
      <c r="I43" s="8"/>
      <c r="J43" s="8">
        <f>BLOCK_CATALOG!J43</f>
        <v>0</v>
      </c>
      <c r="K43" s="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>
        <f>BLOCK_CATALOG!A44</f>
        <v>0</v>
      </c>
      <c r="B44" s="8">
        <f>BLOCK_CATALOG!B44</f>
        <v>0</v>
      </c>
      <c r="C44" s="8">
        <f>BLOCK_CATALOG!C44</f>
        <v>0</v>
      </c>
      <c r="D44" s="8">
        <f>BLOCK_CATALOG!E44</f>
        <v>0</v>
      </c>
      <c r="E44" s="8">
        <f>BLOCK_CATALOG!D44</f>
        <v>0</v>
      </c>
      <c r="F44" s="8">
        <f>BLOCK_CATALOG!N44</f>
        <v>0</v>
      </c>
      <c r="G44" s="8">
        <f>BLOCK_CATALOG!I44</f>
        <v>0</v>
      </c>
      <c r="H44" s="7">
        <f>BLOCK_CATALOG!G44</f>
        <v>0</v>
      </c>
      <c r="I44" s="8"/>
      <c r="J44" s="8">
        <f>BLOCK_CATALOG!J44</f>
        <v>0</v>
      </c>
      <c r="K44" s="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>
        <f>BLOCK_CATALOG!A45</f>
        <v>0</v>
      </c>
      <c r="B45" s="8">
        <f>BLOCK_CATALOG!B45</f>
        <v>0</v>
      </c>
      <c r="C45" s="8">
        <f>BLOCK_CATALOG!C45</f>
        <v>0</v>
      </c>
      <c r="D45" s="8">
        <f>BLOCK_CATALOG!E45</f>
        <v>0</v>
      </c>
      <c r="E45" s="8">
        <f>BLOCK_CATALOG!D45</f>
        <v>0</v>
      </c>
      <c r="F45" s="8">
        <f>BLOCK_CATALOG!N45</f>
        <v>0</v>
      </c>
      <c r="G45" s="8">
        <f>BLOCK_CATALOG!I45</f>
        <v>0</v>
      </c>
      <c r="H45" s="7">
        <f>BLOCK_CATALOG!G45</f>
        <v>0</v>
      </c>
      <c r="I45" s="8"/>
      <c r="J45" s="8">
        <f>BLOCK_CATALOG!J45</f>
        <v>0</v>
      </c>
      <c r="K45" s="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>
        <f>BLOCK_CATALOG!A46</f>
        <v>0</v>
      </c>
      <c r="B46" s="8">
        <f>BLOCK_CATALOG!B46</f>
        <v>0</v>
      </c>
      <c r="C46" s="8">
        <f>BLOCK_CATALOG!C46</f>
        <v>0</v>
      </c>
      <c r="D46" s="8">
        <f>BLOCK_CATALOG!E46</f>
        <v>0</v>
      </c>
      <c r="E46" s="8">
        <f>BLOCK_CATALOG!D46</f>
        <v>0</v>
      </c>
      <c r="F46" s="8">
        <f>BLOCK_CATALOG!N46</f>
        <v>0</v>
      </c>
      <c r="G46" s="8">
        <f>BLOCK_CATALOG!I46</f>
        <v>0</v>
      </c>
      <c r="H46" s="7">
        <f>BLOCK_CATALOG!G46</f>
        <v>0</v>
      </c>
      <c r="I46" s="8"/>
      <c r="J46" s="8">
        <f>BLOCK_CATALOG!J46</f>
        <v>0</v>
      </c>
      <c r="K46" s="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>
        <f>BLOCK_CATALOG!A47</f>
        <v>0</v>
      </c>
      <c r="B47" s="8">
        <f>BLOCK_CATALOG!B47</f>
        <v>0</v>
      </c>
      <c r="C47" s="8">
        <f>BLOCK_CATALOG!C47</f>
        <v>0</v>
      </c>
      <c r="D47" s="8">
        <f>BLOCK_CATALOG!E47</f>
        <v>0</v>
      </c>
      <c r="E47" s="8">
        <f>BLOCK_CATALOG!D47</f>
        <v>0</v>
      </c>
      <c r="F47" s="8">
        <f>BLOCK_CATALOG!N47</f>
        <v>0</v>
      </c>
      <c r="G47" s="8">
        <f>BLOCK_CATALOG!I47</f>
        <v>0</v>
      </c>
      <c r="H47" s="7">
        <f>BLOCK_CATALOG!G47</f>
        <v>0</v>
      </c>
      <c r="I47" s="8"/>
      <c r="J47" s="8">
        <f>BLOCK_CATALOG!J47</f>
        <v>0</v>
      </c>
      <c r="K47" s="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>
        <f>BLOCK_CATALOG!A48</f>
        <v>0</v>
      </c>
      <c r="B48" s="8">
        <f>BLOCK_CATALOG!B48</f>
        <v>0</v>
      </c>
      <c r="C48" s="8">
        <f>BLOCK_CATALOG!C48</f>
        <v>0</v>
      </c>
      <c r="D48" s="8">
        <f>BLOCK_CATALOG!E48</f>
        <v>0</v>
      </c>
      <c r="E48" s="8">
        <f>BLOCK_CATALOG!D48</f>
        <v>0</v>
      </c>
      <c r="F48" s="8">
        <f>BLOCK_CATALOG!N48</f>
        <v>0</v>
      </c>
      <c r="G48" s="8">
        <f>BLOCK_CATALOG!I48</f>
        <v>0</v>
      </c>
      <c r="H48" s="7">
        <f>BLOCK_CATALOG!G48</f>
        <v>0</v>
      </c>
      <c r="I48" s="8"/>
      <c r="J48" s="8">
        <f>BLOCK_CATALOG!J48</f>
        <v>0</v>
      </c>
      <c r="K48" s="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>
        <f>BLOCK_CATALOG!A49</f>
        <v>0</v>
      </c>
      <c r="B49" s="8">
        <f>BLOCK_CATALOG!B49</f>
        <v>0</v>
      </c>
      <c r="C49" s="8">
        <f>BLOCK_CATALOG!C49</f>
        <v>0</v>
      </c>
      <c r="D49" s="8">
        <f>BLOCK_CATALOG!E49</f>
        <v>0</v>
      </c>
      <c r="E49" s="8">
        <f>BLOCK_CATALOG!D49</f>
        <v>0</v>
      </c>
      <c r="F49" s="8">
        <f>BLOCK_CATALOG!N49</f>
        <v>0</v>
      </c>
      <c r="G49" s="8">
        <f>BLOCK_CATALOG!I49</f>
        <v>0</v>
      </c>
      <c r="H49" s="7">
        <f>BLOCK_CATALOG!G49</f>
        <v>0</v>
      </c>
      <c r="I49" s="8"/>
      <c r="J49" s="8">
        <f>BLOCK_CATALOG!J49</f>
        <v>0</v>
      </c>
      <c r="K49" s="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>
        <f>BLOCK_CATALOG!A50</f>
        <v>0</v>
      </c>
      <c r="B50" s="8">
        <f>BLOCK_CATALOG!B50</f>
        <v>0</v>
      </c>
      <c r="C50" s="8">
        <f>BLOCK_CATALOG!C50</f>
        <v>0</v>
      </c>
      <c r="D50" s="8">
        <f>BLOCK_CATALOG!E50</f>
        <v>0</v>
      </c>
      <c r="E50" s="8">
        <f>BLOCK_CATALOG!D50</f>
        <v>0</v>
      </c>
      <c r="F50" s="8">
        <f>BLOCK_CATALOG!N50</f>
        <v>0</v>
      </c>
      <c r="G50" s="8">
        <f>BLOCK_CATALOG!I50</f>
        <v>0</v>
      </c>
      <c r="H50" s="7">
        <f>BLOCK_CATALOG!G50</f>
        <v>0</v>
      </c>
      <c r="I50" s="8"/>
      <c r="J50" s="8">
        <f>BLOCK_CATALOG!J50</f>
        <v>0</v>
      </c>
      <c r="K50" s="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>
        <f>BLOCK_CATALOG!A51</f>
        <v>0</v>
      </c>
      <c r="B51" s="8">
        <f>BLOCK_CATALOG!B51</f>
        <v>0</v>
      </c>
      <c r="C51" s="8">
        <f>BLOCK_CATALOG!C51</f>
        <v>0</v>
      </c>
      <c r="D51" s="8">
        <f>BLOCK_CATALOG!E51</f>
        <v>0</v>
      </c>
      <c r="E51" s="8">
        <f>BLOCK_CATALOG!D51</f>
        <v>0</v>
      </c>
      <c r="F51" s="8">
        <f>BLOCK_CATALOG!N51</f>
        <v>0</v>
      </c>
      <c r="G51" s="8">
        <f>BLOCK_CATALOG!I51</f>
        <v>0</v>
      </c>
      <c r="H51" s="7">
        <f>BLOCK_CATALOG!G51</f>
        <v>0</v>
      </c>
      <c r="I51" s="8"/>
      <c r="J51" s="8">
        <f>BLOCK_CATALOG!J51</f>
        <v>0</v>
      </c>
      <c r="K51" s="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>
        <f>BLOCK_CATALOG!A52</f>
        <v>0</v>
      </c>
      <c r="B52" s="8">
        <f>BLOCK_CATALOG!B52</f>
        <v>0</v>
      </c>
      <c r="C52" s="8">
        <f>BLOCK_CATALOG!C52</f>
        <v>0</v>
      </c>
      <c r="D52" s="8">
        <f>BLOCK_CATALOG!E52</f>
        <v>0</v>
      </c>
      <c r="E52" s="8">
        <f>BLOCK_CATALOG!D52</f>
        <v>0</v>
      </c>
      <c r="F52" s="8">
        <f>BLOCK_CATALOG!N52</f>
        <v>0</v>
      </c>
      <c r="G52" s="8">
        <f>BLOCK_CATALOG!I52</f>
        <v>0</v>
      </c>
      <c r="H52" s="7">
        <f>BLOCK_CATALOG!G52</f>
        <v>0</v>
      </c>
      <c r="I52" s="8"/>
      <c r="J52" s="8">
        <f>BLOCK_CATALOG!J52</f>
        <v>0</v>
      </c>
      <c r="K52" s="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>
        <f>BLOCK_CATALOG!A53</f>
        <v>0</v>
      </c>
      <c r="B53" s="8">
        <f>BLOCK_CATALOG!B53</f>
        <v>0</v>
      </c>
      <c r="C53" s="8">
        <f>BLOCK_CATALOG!C53</f>
        <v>0</v>
      </c>
      <c r="D53" s="8">
        <f>BLOCK_CATALOG!E53</f>
        <v>0</v>
      </c>
      <c r="E53" s="8">
        <f>BLOCK_CATALOG!D53</f>
        <v>0</v>
      </c>
      <c r="F53" s="8">
        <f>BLOCK_CATALOG!N53</f>
        <v>0</v>
      </c>
      <c r="G53" s="8">
        <f>BLOCK_CATALOG!I53</f>
        <v>0</v>
      </c>
      <c r="H53" s="7">
        <f>BLOCK_CATALOG!G53</f>
        <v>0</v>
      </c>
      <c r="I53" s="8"/>
      <c r="J53" s="8">
        <f>BLOCK_CATALOG!J53</f>
        <v>0</v>
      </c>
      <c r="K53" s="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>
        <f>BLOCK_CATALOG!A54</f>
        <v>0</v>
      </c>
      <c r="B54" s="8">
        <f>BLOCK_CATALOG!B54</f>
        <v>0</v>
      </c>
      <c r="C54" s="8">
        <f>BLOCK_CATALOG!C54</f>
        <v>0</v>
      </c>
      <c r="D54" s="8">
        <f>BLOCK_CATALOG!E54</f>
        <v>0</v>
      </c>
      <c r="E54" s="8">
        <f>BLOCK_CATALOG!D54</f>
        <v>0</v>
      </c>
      <c r="F54" s="8">
        <f>BLOCK_CATALOG!N54</f>
        <v>0</v>
      </c>
      <c r="G54" s="8">
        <f>BLOCK_CATALOG!I54</f>
        <v>0</v>
      </c>
      <c r="H54" s="7">
        <f>BLOCK_CATALOG!G54</f>
        <v>0</v>
      </c>
      <c r="I54" s="8"/>
      <c r="J54" s="8">
        <f>BLOCK_CATALOG!J54</f>
        <v>0</v>
      </c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>
        <f>BLOCK_CATALOG!A55</f>
        <v>0</v>
      </c>
      <c r="B55" s="8">
        <f>BLOCK_CATALOG!B55</f>
        <v>0</v>
      </c>
      <c r="C55" s="8">
        <f>BLOCK_CATALOG!C55</f>
        <v>0</v>
      </c>
      <c r="D55" s="8">
        <f>BLOCK_CATALOG!E55</f>
        <v>0</v>
      </c>
      <c r="E55" s="8">
        <f>BLOCK_CATALOG!D55</f>
        <v>0</v>
      </c>
      <c r="F55" s="8">
        <f>BLOCK_CATALOG!N55</f>
        <v>0</v>
      </c>
      <c r="G55" s="8">
        <f>BLOCK_CATALOG!I55</f>
        <v>0</v>
      </c>
      <c r="H55" s="7">
        <f>BLOCK_CATALOG!G55</f>
        <v>0</v>
      </c>
      <c r="I55" s="8"/>
      <c r="J55" s="8">
        <f>BLOCK_CATALOG!J55</f>
        <v>0</v>
      </c>
      <c r="K55" s="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>
        <f>BLOCK_CATALOG!A56</f>
        <v>0</v>
      </c>
      <c r="B56" s="8">
        <f>BLOCK_CATALOG!B56</f>
        <v>0</v>
      </c>
      <c r="C56" s="8">
        <f>BLOCK_CATALOG!C56</f>
        <v>0</v>
      </c>
      <c r="D56" s="8">
        <f>BLOCK_CATALOG!E56</f>
        <v>0</v>
      </c>
      <c r="E56" s="8">
        <f>BLOCK_CATALOG!D56</f>
        <v>0</v>
      </c>
      <c r="F56" s="8">
        <f>BLOCK_CATALOG!N56</f>
        <v>0</v>
      </c>
      <c r="G56" s="8">
        <f>BLOCK_CATALOG!I56</f>
        <v>0</v>
      </c>
      <c r="H56" s="7">
        <f>BLOCK_CATALOG!G56</f>
        <v>0</v>
      </c>
      <c r="I56" s="8"/>
      <c r="J56" s="8">
        <f>BLOCK_CATALOG!J56</f>
        <v>0</v>
      </c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>
        <f>BLOCK_CATALOG!A57</f>
        <v>0</v>
      </c>
      <c r="B57" s="8">
        <f>BLOCK_CATALOG!B57</f>
        <v>0</v>
      </c>
      <c r="C57" s="8">
        <f>BLOCK_CATALOG!C57</f>
        <v>0</v>
      </c>
      <c r="D57" s="8">
        <f>BLOCK_CATALOG!E57</f>
        <v>0</v>
      </c>
      <c r="E57" s="8">
        <f>BLOCK_CATALOG!D57</f>
        <v>0</v>
      </c>
      <c r="F57" s="8">
        <f>BLOCK_CATALOG!N57</f>
        <v>0</v>
      </c>
      <c r="G57" s="8">
        <f>BLOCK_CATALOG!I57</f>
        <v>0</v>
      </c>
      <c r="H57" s="7">
        <f>BLOCK_CATALOG!G57</f>
        <v>0</v>
      </c>
      <c r="I57" s="8"/>
      <c r="J57" s="8">
        <f>BLOCK_CATALOG!J57</f>
        <v>0</v>
      </c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>
        <f>BLOCK_CATALOG!A58</f>
        <v>0</v>
      </c>
      <c r="B58" s="8">
        <f>BLOCK_CATALOG!B58</f>
        <v>0</v>
      </c>
      <c r="C58" s="8">
        <f>BLOCK_CATALOG!C58</f>
        <v>0</v>
      </c>
      <c r="D58" s="8">
        <f>BLOCK_CATALOG!E58</f>
        <v>0</v>
      </c>
      <c r="E58" s="8">
        <f>BLOCK_CATALOG!D58</f>
        <v>0</v>
      </c>
      <c r="F58" s="8">
        <f>BLOCK_CATALOG!N58</f>
        <v>0</v>
      </c>
      <c r="G58" s="8">
        <f>BLOCK_CATALOG!I58</f>
        <v>0</v>
      </c>
      <c r="H58" s="7">
        <f>BLOCK_CATALOG!G58</f>
        <v>0</v>
      </c>
      <c r="I58" s="8"/>
      <c r="J58" s="8">
        <f>BLOCK_CATALOG!J58</f>
        <v>0</v>
      </c>
      <c r="K58" s="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8">
        <f>BLOCK_CATALOG!A59</f>
        <v>0</v>
      </c>
      <c r="B59" s="8">
        <f>BLOCK_CATALOG!B59</f>
        <v>0</v>
      </c>
      <c r="C59" s="8">
        <f>BLOCK_CATALOG!C59</f>
        <v>0</v>
      </c>
      <c r="D59" s="8">
        <f>BLOCK_CATALOG!E59</f>
        <v>0</v>
      </c>
      <c r="E59" s="8">
        <f>BLOCK_CATALOG!D59</f>
        <v>0</v>
      </c>
      <c r="F59" s="8">
        <f>BLOCK_CATALOG!N59</f>
        <v>0</v>
      </c>
      <c r="G59" s="8">
        <f>BLOCK_CATALOG!I59</f>
        <v>0</v>
      </c>
      <c r="H59" s="7">
        <f>BLOCK_CATALOG!G59</f>
        <v>0</v>
      </c>
      <c r="I59" s="8"/>
      <c r="J59" s="8">
        <f>BLOCK_CATALOG!J59</f>
        <v>0</v>
      </c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8">
        <f>BLOCK_CATALOG!A60</f>
        <v>0</v>
      </c>
      <c r="B60" s="8">
        <f>BLOCK_CATALOG!B60</f>
        <v>0</v>
      </c>
      <c r="C60" s="8">
        <f>BLOCK_CATALOG!C60</f>
        <v>0</v>
      </c>
      <c r="D60" s="8">
        <f>BLOCK_CATALOG!E60</f>
        <v>0</v>
      </c>
      <c r="E60" s="8">
        <f>BLOCK_CATALOG!D60</f>
        <v>0</v>
      </c>
      <c r="F60" s="8">
        <f>BLOCK_CATALOG!N60</f>
        <v>0</v>
      </c>
      <c r="G60" s="8">
        <f>BLOCK_CATALOG!I60</f>
        <v>0</v>
      </c>
      <c r="H60" s="7">
        <f>BLOCK_CATALOG!G60</f>
        <v>0</v>
      </c>
      <c r="I60" s="8"/>
      <c r="J60" s="8">
        <f>BLOCK_CATALOG!J60</f>
        <v>0</v>
      </c>
      <c r="K60" s="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8">
        <f>BLOCK_CATALOG!A61</f>
        <v>0</v>
      </c>
      <c r="B61" s="8">
        <f>BLOCK_CATALOG!B61</f>
        <v>0</v>
      </c>
      <c r="C61" s="8">
        <f>BLOCK_CATALOG!C61</f>
        <v>0</v>
      </c>
      <c r="D61" s="8">
        <f>BLOCK_CATALOG!E61</f>
        <v>0</v>
      </c>
      <c r="E61" s="8">
        <f>BLOCK_CATALOG!D61</f>
        <v>0</v>
      </c>
      <c r="F61" s="8">
        <f>BLOCK_CATALOG!N61</f>
        <v>0</v>
      </c>
      <c r="G61" s="8">
        <f>BLOCK_CATALOG!I61</f>
        <v>0</v>
      </c>
      <c r="H61" s="7">
        <f>BLOCK_CATALOG!G61</f>
        <v>0</v>
      </c>
      <c r="I61" s="8"/>
      <c r="J61" s="8">
        <f>BLOCK_CATALOG!J61</f>
        <v>0</v>
      </c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8">
        <f>BLOCK_CATALOG!A62</f>
        <v>0</v>
      </c>
      <c r="B62" s="8">
        <f>BLOCK_CATALOG!B62</f>
        <v>0</v>
      </c>
      <c r="C62" s="8">
        <f>BLOCK_CATALOG!C62</f>
        <v>0</v>
      </c>
      <c r="D62" s="8">
        <f>BLOCK_CATALOG!E62</f>
        <v>0</v>
      </c>
      <c r="E62" s="8">
        <f>BLOCK_CATALOG!D62</f>
        <v>0</v>
      </c>
      <c r="F62" s="8">
        <f>BLOCK_CATALOG!N62</f>
        <v>0</v>
      </c>
      <c r="G62" s="8">
        <f>BLOCK_CATALOG!I62</f>
        <v>0</v>
      </c>
      <c r="H62" s="7">
        <f>BLOCK_CATALOG!G62</f>
        <v>0</v>
      </c>
      <c r="I62" s="8"/>
      <c r="J62" s="8">
        <f>BLOCK_CATALOG!J62</f>
        <v>0</v>
      </c>
      <c r="K62" s="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8">
        <f>BLOCK_CATALOG!A63</f>
        <v>0</v>
      </c>
      <c r="B63" s="8">
        <f>BLOCK_CATALOG!B63</f>
        <v>0</v>
      </c>
      <c r="C63" s="8">
        <f>BLOCK_CATALOG!C63</f>
        <v>0</v>
      </c>
      <c r="D63" s="8">
        <f>BLOCK_CATALOG!E63</f>
        <v>0</v>
      </c>
      <c r="E63" s="8">
        <f>BLOCK_CATALOG!D63</f>
        <v>0</v>
      </c>
      <c r="F63" s="8">
        <f>BLOCK_CATALOG!N63</f>
        <v>0</v>
      </c>
      <c r="G63" s="8">
        <f>BLOCK_CATALOG!I63</f>
        <v>0</v>
      </c>
      <c r="H63" s="7">
        <f>BLOCK_CATALOG!G63</f>
        <v>0</v>
      </c>
      <c r="I63" s="8"/>
      <c r="J63" s="8">
        <f>BLOCK_CATALOG!J63</f>
        <v>0</v>
      </c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>
        <f>BLOCK_CATALOG!A64</f>
        <v>0</v>
      </c>
      <c r="B64" s="8">
        <f>BLOCK_CATALOG!B64</f>
        <v>0</v>
      </c>
      <c r="C64" s="8">
        <f>BLOCK_CATALOG!C64</f>
        <v>0</v>
      </c>
      <c r="D64" s="8">
        <f>BLOCK_CATALOG!E64</f>
        <v>0</v>
      </c>
      <c r="E64" s="8">
        <f>BLOCK_CATALOG!D64</f>
        <v>0</v>
      </c>
      <c r="F64" s="8">
        <f>BLOCK_CATALOG!N64</f>
        <v>0</v>
      </c>
      <c r="G64" s="8">
        <f>BLOCK_CATALOG!I64</f>
        <v>0</v>
      </c>
      <c r="H64" s="7">
        <f>BLOCK_CATALOG!G64</f>
        <v>0</v>
      </c>
      <c r="I64" s="8"/>
      <c r="J64" s="8">
        <f>BLOCK_CATALOG!J64</f>
        <v>0</v>
      </c>
      <c r="K64" s="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>
        <f>BLOCK_CATALOG!A65</f>
        <v>0</v>
      </c>
      <c r="B65" s="8">
        <f>BLOCK_CATALOG!B65</f>
        <v>0</v>
      </c>
      <c r="C65" s="8">
        <f>BLOCK_CATALOG!C65</f>
        <v>0</v>
      </c>
      <c r="D65" s="8">
        <f>BLOCK_CATALOG!E65</f>
        <v>0</v>
      </c>
      <c r="E65" s="8">
        <f>BLOCK_CATALOG!D65</f>
        <v>0</v>
      </c>
      <c r="F65" s="8">
        <f>BLOCK_CATALOG!N65</f>
        <v>0</v>
      </c>
      <c r="G65" s="8">
        <f>BLOCK_CATALOG!I65</f>
        <v>0</v>
      </c>
      <c r="H65" s="7">
        <f>BLOCK_CATALOG!G65</f>
        <v>0</v>
      </c>
      <c r="I65" s="8"/>
      <c r="J65" s="8">
        <f>BLOCK_CATALOG!J65</f>
        <v>0</v>
      </c>
      <c r="K65" s="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>
        <f>BLOCK_CATALOG!A66</f>
        <v>0</v>
      </c>
      <c r="B66" s="8">
        <f>BLOCK_CATALOG!B66</f>
        <v>0</v>
      </c>
      <c r="C66" s="8">
        <f>BLOCK_CATALOG!C66</f>
        <v>0</v>
      </c>
      <c r="D66" s="8">
        <f>BLOCK_CATALOG!E66</f>
        <v>0</v>
      </c>
      <c r="E66" s="8">
        <f>BLOCK_CATALOG!D66</f>
        <v>0</v>
      </c>
      <c r="F66" s="8">
        <f>BLOCK_CATALOG!N66</f>
        <v>0</v>
      </c>
      <c r="G66" s="8">
        <f>BLOCK_CATALOG!I66</f>
        <v>0</v>
      </c>
      <c r="H66" s="7">
        <f>BLOCK_CATALOG!G66</f>
        <v>0</v>
      </c>
      <c r="I66" s="8"/>
      <c r="J66" s="8">
        <f>BLOCK_CATALOG!J66</f>
        <v>0</v>
      </c>
      <c r="K66" s="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>
        <f>BLOCK_CATALOG!A67</f>
        <v>0</v>
      </c>
      <c r="B67" s="8">
        <f>BLOCK_CATALOG!B67</f>
        <v>0</v>
      </c>
      <c r="C67" s="8">
        <f>BLOCK_CATALOG!C67</f>
        <v>0</v>
      </c>
      <c r="D67" s="8">
        <f>BLOCK_CATALOG!E67</f>
        <v>0</v>
      </c>
      <c r="E67" s="8">
        <f>BLOCK_CATALOG!D67</f>
        <v>0</v>
      </c>
      <c r="F67" s="8">
        <f>BLOCK_CATALOG!N67</f>
        <v>0</v>
      </c>
      <c r="G67" s="8">
        <f>BLOCK_CATALOG!I67</f>
        <v>0</v>
      </c>
      <c r="H67" s="7">
        <f>BLOCK_CATALOG!G67</f>
        <v>0</v>
      </c>
      <c r="I67" s="8"/>
      <c r="J67" s="8">
        <f>BLOCK_CATALOG!J67</f>
        <v>0</v>
      </c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>
        <f>BLOCK_CATALOG!A68</f>
        <v>0</v>
      </c>
      <c r="B68" s="8">
        <f>BLOCK_CATALOG!B68</f>
        <v>0</v>
      </c>
      <c r="C68" s="8">
        <f>BLOCK_CATALOG!C68</f>
        <v>0</v>
      </c>
      <c r="D68" s="8">
        <f>BLOCK_CATALOG!E68</f>
        <v>0</v>
      </c>
      <c r="E68" s="8">
        <f>BLOCK_CATALOG!D68</f>
        <v>0</v>
      </c>
      <c r="F68" s="8">
        <f>BLOCK_CATALOG!N68</f>
        <v>0</v>
      </c>
      <c r="G68" s="8">
        <f>BLOCK_CATALOG!I68</f>
        <v>0</v>
      </c>
      <c r="H68" s="7">
        <f>BLOCK_CATALOG!G68</f>
        <v>0</v>
      </c>
      <c r="I68" s="8"/>
      <c r="J68" s="8">
        <f>BLOCK_CATALOG!J68</f>
        <v>0</v>
      </c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>
        <f>BLOCK_CATALOG!A69</f>
        <v>0</v>
      </c>
      <c r="B69" s="8">
        <f>BLOCK_CATALOG!B69</f>
        <v>0</v>
      </c>
      <c r="C69" s="8">
        <f>BLOCK_CATALOG!C69</f>
        <v>0</v>
      </c>
      <c r="D69" s="8">
        <f>BLOCK_CATALOG!E69</f>
        <v>0</v>
      </c>
      <c r="E69" s="8">
        <f>BLOCK_CATALOG!D69</f>
        <v>0</v>
      </c>
      <c r="F69" s="8">
        <f>BLOCK_CATALOG!N69</f>
        <v>0</v>
      </c>
      <c r="G69" s="8">
        <f>BLOCK_CATALOG!I69</f>
        <v>0</v>
      </c>
      <c r="H69" s="7">
        <f>BLOCK_CATALOG!G69</f>
        <v>0</v>
      </c>
      <c r="I69" s="8"/>
      <c r="J69" s="8">
        <f>BLOCK_CATALOG!J69</f>
        <v>0</v>
      </c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>
        <f>BLOCK_CATALOG!A70</f>
        <v>0</v>
      </c>
      <c r="B70" s="8">
        <f>BLOCK_CATALOG!B70</f>
        <v>0</v>
      </c>
      <c r="C70" s="8">
        <f>BLOCK_CATALOG!C70</f>
        <v>0</v>
      </c>
      <c r="D70" s="8">
        <f>BLOCK_CATALOG!E70</f>
        <v>0</v>
      </c>
      <c r="E70" s="8">
        <f>BLOCK_CATALOG!D70</f>
        <v>0</v>
      </c>
      <c r="F70" s="8">
        <f>BLOCK_CATALOG!N70</f>
        <v>0</v>
      </c>
      <c r="G70" s="8">
        <f>BLOCK_CATALOG!I70</f>
        <v>0</v>
      </c>
      <c r="H70" s="7">
        <f>BLOCK_CATALOG!G70</f>
        <v>0</v>
      </c>
      <c r="I70" s="8"/>
      <c r="J70" s="8">
        <f>BLOCK_CATALOG!J70</f>
        <v>0</v>
      </c>
      <c r="K70" s="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>
        <f>BLOCK_CATALOG!A71</f>
        <v>0</v>
      </c>
      <c r="B71" s="8">
        <f>BLOCK_CATALOG!B71</f>
        <v>0</v>
      </c>
      <c r="C71" s="8">
        <f>BLOCK_CATALOG!C71</f>
        <v>0</v>
      </c>
      <c r="D71" s="8">
        <f>BLOCK_CATALOG!E71</f>
        <v>0</v>
      </c>
      <c r="E71" s="8">
        <f>BLOCK_CATALOG!D71</f>
        <v>0</v>
      </c>
      <c r="F71" s="8">
        <f>BLOCK_CATALOG!N71</f>
        <v>0</v>
      </c>
      <c r="G71" s="8">
        <f>BLOCK_CATALOG!I71</f>
        <v>0</v>
      </c>
      <c r="H71" s="7">
        <f>BLOCK_CATALOG!G71</f>
        <v>0</v>
      </c>
      <c r="I71" s="8"/>
      <c r="J71" s="8">
        <f>BLOCK_CATALOG!J71</f>
        <v>0</v>
      </c>
      <c r="K71" s="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>
        <f>BLOCK_CATALOG!A72</f>
        <v>0</v>
      </c>
      <c r="B72" s="8">
        <f>BLOCK_CATALOG!B72</f>
        <v>0</v>
      </c>
      <c r="C72" s="8">
        <f>BLOCK_CATALOG!C72</f>
        <v>0</v>
      </c>
      <c r="D72" s="8">
        <f>BLOCK_CATALOG!E72</f>
        <v>0</v>
      </c>
      <c r="E72" s="8">
        <f>BLOCK_CATALOG!D72</f>
        <v>0</v>
      </c>
      <c r="F72" s="8">
        <f>BLOCK_CATALOG!N72</f>
        <v>0</v>
      </c>
      <c r="G72" s="8">
        <f>BLOCK_CATALOG!I72</f>
        <v>0</v>
      </c>
      <c r="H72" s="7">
        <f>BLOCK_CATALOG!G72</f>
        <v>0</v>
      </c>
      <c r="I72" s="8"/>
      <c r="J72" s="8">
        <f>BLOCK_CATALOG!J72</f>
        <v>0</v>
      </c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8">
        <f>BLOCK_CATALOG!A73</f>
        <v>0</v>
      </c>
      <c r="B73" s="8">
        <f>BLOCK_CATALOG!B73</f>
        <v>0</v>
      </c>
      <c r="C73" s="8">
        <f>BLOCK_CATALOG!C73</f>
        <v>0</v>
      </c>
      <c r="D73" s="8">
        <f>BLOCK_CATALOG!E73</f>
        <v>0</v>
      </c>
      <c r="E73" s="8">
        <f>BLOCK_CATALOG!D73</f>
        <v>0</v>
      </c>
      <c r="F73" s="8">
        <f>BLOCK_CATALOG!N73</f>
        <v>0</v>
      </c>
      <c r="G73" s="8">
        <f>BLOCK_CATALOG!I73</f>
        <v>0</v>
      </c>
      <c r="H73" s="7">
        <f>BLOCK_CATALOG!G73</f>
        <v>0</v>
      </c>
      <c r="I73" s="8"/>
      <c r="J73" s="8">
        <f>BLOCK_CATALOG!J73</f>
        <v>0</v>
      </c>
      <c r="K73" s="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8">
        <f>BLOCK_CATALOG!A74</f>
        <v>0</v>
      </c>
      <c r="B74" s="8">
        <f>BLOCK_CATALOG!B74</f>
        <v>0</v>
      </c>
      <c r="C74" s="8">
        <f>BLOCK_CATALOG!C74</f>
        <v>0</v>
      </c>
      <c r="D74" s="8">
        <f>BLOCK_CATALOG!E74</f>
        <v>0</v>
      </c>
      <c r="E74" s="8">
        <f>BLOCK_CATALOG!D74</f>
        <v>0</v>
      </c>
      <c r="F74" s="8">
        <f>BLOCK_CATALOG!N74</f>
        <v>0</v>
      </c>
      <c r="G74" s="8">
        <f>BLOCK_CATALOG!I74</f>
        <v>0</v>
      </c>
      <c r="H74" s="7">
        <f>BLOCK_CATALOG!G74</f>
        <v>0</v>
      </c>
      <c r="I74" s="8"/>
      <c r="J74" s="8">
        <f>BLOCK_CATALOG!J74</f>
        <v>0</v>
      </c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8">
        <f>BLOCK_CATALOG!A75</f>
        <v>0</v>
      </c>
      <c r="B75" s="8">
        <f>BLOCK_CATALOG!B75</f>
        <v>0</v>
      </c>
      <c r="C75" s="8">
        <f>BLOCK_CATALOG!C75</f>
        <v>0</v>
      </c>
      <c r="D75" s="8">
        <f>BLOCK_CATALOG!E75</f>
        <v>0</v>
      </c>
      <c r="E75" s="8">
        <f>BLOCK_CATALOG!D75</f>
        <v>0</v>
      </c>
      <c r="F75" s="8">
        <f>BLOCK_CATALOG!N75</f>
        <v>0</v>
      </c>
      <c r="G75" s="8">
        <f>BLOCK_CATALOG!I75</f>
        <v>0</v>
      </c>
      <c r="H75" s="7">
        <f>BLOCK_CATALOG!G75</f>
        <v>0</v>
      </c>
      <c r="I75" s="8"/>
      <c r="J75" s="8">
        <f>BLOCK_CATALOG!J75</f>
        <v>0</v>
      </c>
      <c r="K75" s="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8">
        <f>BLOCK_CATALOG!A76</f>
        <v>0</v>
      </c>
      <c r="B76" s="8">
        <f>BLOCK_CATALOG!B76</f>
        <v>0</v>
      </c>
      <c r="C76" s="8">
        <f>BLOCK_CATALOG!C76</f>
        <v>0</v>
      </c>
      <c r="D76" s="8">
        <f>BLOCK_CATALOG!E76</f>
        <v>0</v>
      </c>
      <c r="E76" s="8">
        <f>BLOCK_CATALOG!D76</f>
        <v>0</v>
      </c>
      <c r="F76" s="8">
        <f>BLOCK_CATALOG!N76</f>
        <v>0</v>
      </c>
      <c r="G76" s="8">
        <f>BLOCK_CATALOG!I76</f>
        <v>0</v>
      </c>
      <c r="H76" s="7">
        <f>BLOCK_CATALOG!G76</f>
        <v>0</v>
      </c>
      <c r="I76" s="8"/>
      <c r="J76" s="8">
        <f>BLOCK_CATALOG!J76</f>
        <v>0</v>
      </c>
      <c r="K76" s="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8">
        <f>BLOCK_CATALOG!A77</f>
        <v>0</v>
      </c>
      <c r="B77" s="8">
        <f>BLOCK_CATALOG!B77</f>
        <v>0</v>
      </c>
      <c r="C77" s="8">
        <f>BLOCK_CATALOG!C77</f>
        <v>0</v>
      </c>
      <c r="D77" s="8">
        <f>BLOCK_CATALOG!E77</f>
        <v>0</v>
      </c>
      <c r="E77" s="8">
        <f>BLOCK_CATALOG!D77</f>
        <v>0</v>
      </c>
      <c r="F77" s="8">
        <f>BLOCK_CATALOG!N77</f>
        <v>0</v>
      </c>
      <c r="G77" s="8">
        <f>BLOCK_CATALOG!I77</f>
        <v>0</v>
      </c>
      <c r="H77" s="7">
        <f>BLOCK_CATALOG!G77</f>
        <v>0</v>
      </c>
      <c r="I77" s="8"/>
      <c r="J77" s="8">
        <f>BLOCK_CATALOG!J77</f>
        <v>0</v>
      </c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8">
        <f>BLOCK_CATALOG!A78</f>
        <v>0</v>
      </c>
      <c r="B78" s="8">
        <f>BLOCK_CATALOG!B78</f>
        <v>0</v>
      </c>
      <c r="C78" s="8">
        <f>BLOCK_CATALOG!C78</f>
        <v>0</v>
      </c>
      <c r="D78" s="8">
        <f>BLOCK_CATALOG!E78</f>
        <v>0</v>
      </c>
      <c r="E78" s="8">
        <f>BLOCK_CATALOG!D78</f>
        <v>0</v>
      </c>
      <c r="F78" s="8">
        <f>BLOCK_CATALOG!N78</f>
        <v>0</v>
      </c>
      <c r="G78" s="8">
        <f>BLOCK_CATALOG!I78</f>
        <v>0</v>
      </c>
      <c r="H78" s="7">
        <f>BLOCK_CATALOG!G78</f>
        <v>0</v>
      </c>
      <c r="I78" s="8"/>
      <c r="J78" s="8">
        <f>BLOCK_CATALOG!J78</f>
        <v>0</v>
      </c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8">
        <f>BLOCK_CATALOG!A79</f>
        <v>0</v>
      </c>
      <c r="B79" s="8">
        <f>BLOCK_CATALOG!B79</f>
        <v>0</v>
      </c>
      <c r="C79" s="8">
        <f>BLOCK_CATALOG!C79</f>
        <v>0</v>
      </c>
      <c r="D79" s="8">
        <f>BLOCK_CATALOG!E79</f>
        <v>0</v>
      </c>
      <c r="E79" s="8">
        <f>BLOCK_CATALOG!D79</f>
        <v>0</v>
      </c>
      <c r="F79" s="8">
        <f>BLOCK_CATALOG!N79</f>
        <v>0</v>
      </c>
      <c r="G79" s="8">
        <f>BLOCK_CATALOG!I79</f>
        <v>0</v>
      </c>
      <c r="H79" s="7">
        <f>BLOCK_CATALOG!G79</f>
        <v>0</v>
      </c>
      <c r="I79" s="8"/>
      <c r="J79" s="8">
        <f>BLOCK_CATALOG!J79</f>
        <v>0</v>
      </c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>
        <f>BLOCK_CATALOG!A80</f>
        <v>0</v>
      </c>
      <c r="B80" s="8">
        <f>BLOCK_CATALOG!B80</f>
        <v>0</v>
      </c>
      <c r="C80" s="8">
        <f>BLOCK_CATALOG!C80</f>
        <v>0</v>
      </c>
      <c r="D80" s="8">
        <f>BLOCK_CATALOG!E80</f>
        <v>0</v>
      </c>
      <c r="E80" s="8">
        <f>BLOCK_CATALOG!D80</f>
        <v>0</v>
      </c>
      <c r="F80" s="8">
        <f>BLOCK_CATALOG!N80</f>
        <v>0</v>
      </c>
      <c r="G80" s="8">
        <f>BLOCK_CATALOG!I80</f>
        <v>0</v>
      </c>
      <c r="H80" s="7">
        <f>BLOCK_CATALOG!G80</f>
        <v>0</v>
      </c>
      <c r="I80" s="8"/>
      <c r="J80" s="8">
        <f>BLOCK_CATALOG!J80</f>
        <v>0</v>
      </c>
      <c r="K80" s="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8">
        <f>BLOCK_CATALOG!A81</f>
        <v>0</v>
      </c>
      <c r="B81" s="8">
        <f>BLOCK_CATALOG!B81</f>
        <v>0</v>
      </c>
      <c r="C81" s="8">
        <f>BLOCK_CATALOG!C81</f>
        <v>0</v>
      </c>
      <c r="D81" s="8">
        <f>BLOCK_CATALOG!E81</f>
        <v>0</v>
      </c>
      <c r="E81" s="8">
        <f>BLOCK_CATALOG!D81</f>
        <v>0</v>
      </c>
      <c r="F81" s="8">
        <f>BLOCK_CATALOG!N81</f>
        <v>0</v>
      </c>
      <c r="G81" s="8">
        <f>BLOCK_CATALOG!I81</f>
        <v>0</v>
      </c>
      <c r="H81" s="7">
        <f>BLOCK_CATALOG!G81</f>
        <v>0</v>
      </c>
      <c r="I81" s="8"/>
      <c r="J81" s="8">
        <f>BLOCK_CATALOG!J81</f>
        <v>0</v>
      </c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8">
        <f>BLOCK_CATALOG!A82</f>
        <v>0</v>
      </c>
      <c r="B82" s="8">
        <f>BLOCK_CATALOG!B82</f>
        <v>0</v>
      </c>
      <c r="C82" s="8">
        <f>BLOCK_CATALOG!C82</f>
        <v>0</v>
      </c>
      <c r="D82" s="8">
        <f>BLOCK_CATALOG!E82</f>
        <v>0</v>
      </c>
      <c r="E82" s="8">
        <f>BLOCK_CATALOG!D82</f>
        <v>0</v>
      </c>
      <c r="F82" s="8">
        <f>BLOCK_CATALOG!N82</f>
        <v>0</v>
      </c>
      <c r="G82" s="8">
        <f>BLOCK_CATALOG!I82</f>
        <v>0</v>
      </c>
      <c r="H82" s="7">
        <f>BLOCK_CATALOG!G82</f>
        <v>0</v>
      </c>
      <c r="I82" s="8"/>
      <c r="J82" s="8">
        <f>BLOCK_CATALOG!J82</f>
        <v>0</v>
      </c>
      <c r="K82" s="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8">
        <f>BLOCK_CATALOG!A83</f>
        <v>0</v>
      </c>
      <c r="B83" s="8">
        <f>BLOCK_CATALOG!B83</f>
        <v>0</v>
      </c>
      <c r="C83" s="8">
        <f>BLOCK_CATALOG!C83</f>
        <v>0</v>
      </c>
      <c r="D83" s="8">
        <f>BLOCK_CATALOG!E83</f>
        <v>0</v>
      </c>
      <c r="E83" s="8">
        <f>BLOCK_CATALOG!D83</f>
        <v>0</v>
      </c>
      <c r="F83" s="8">
        <f>BLOCK_CATALOG!N83</f>
        <v>0</v>
      </c>
      <c r="G83" s="8">
        <f>BLOCK_CATALOG!I83</f>
        <v>0</v>
      </c>
      <c r="H83" s="7">
        <f>BLOCK_CATALOG!G83</f>
        <v>0</v>
      </c>
      <c r="I83" s="8"/>
      <c r="J83" s="8">
        <f>BLOCK_CATALOG!J83</f>
        <v>0</v>
      </c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8">
        <f>BLOCK_CATALOG!A84</f>
        <v>0</v>
      </c>
      <c r="B84" s="8">
        <f>BLOCK_CATALOG!B84</f>
        <v>0</v>
      </c>
      <c r="C84" s="8">
        <f>BLOCK_CATALOG!C84</f>
        <v>0</v>
      </c>
      <c r="D84" s="8">
        <f>BLOCK_CATALOG!E84</f>
        <v>0</v>
      </c>
      <c r="E84" s="8">
        <f>BLOCK_CATALOG!D84</f>
        <v>0</v>
      </c>
      <c r="F84" s="8">
        <f>BLOCK_CATALOG!N84</f>
        <v>0</v>
      </c>
      <c r="G84" s="8">
        <f>BLOCK_CATALOG!I84</f>
        <v>0</v>
      </c>
      <c r="H84" s="7">
        <f>BLOCK_CATALOG!G84</f>
        <v>0</v>
      </c>
      <c r="I84" s="8"/>
      <c r="J84" s="8">
        <f>BLOCK_CATALOG!J84</f>
        <v>0</v>
      </c>
      <c r="K84" s="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8">
        <f>BLOCK_CATALOG!A85</f>
        <v>0</v>
      </c>
      <c r="B85" s="8">
        <f>BLOCK_CATALOG!B85</f>
        <v>0</v>
      </c>
      <c r="C85" s="8">
        <f>BLOCK_CATALOG!C85</f>
        <v>0</v>
      </c>
      <c r="D85" s="8">
        <f>BLOCK_CATALOG!E85</f>
        <v>0</v>
      </c>
      <c r="E85" s="8">
        <f>BLOCK_CATALOG!D85</f>
        <v>0</v>
      </c>
      <c r="F85" s="8">
        <f>BLOCK_CATALOG!N85</f>
        <v>0</v>
      </c>
      <c r="G85" s="8">
        <f>BLOCK_CATALOG!I85</f>
        <v>0</v>
      </c>
      <c r="H85" s="7">
        <f>BLOCK_CATALOG!G85</f>
        <v>0</v>
      </c>
      <c r="I85" s="8"/>
      <c r="J85" s="8">
        <f>BLOCK_CATALOG!J85</f>
        <v>0</v>
      </c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8">
        <f>BLOCK_CATALOG!A86</f>
        <v>0</v>
      </c>
      <c r="B86" s="8">
        <f>BLOCK_CATALOG!B86</f>
        <v>0</v>
      </c>
      <c r="C86" s="8">
        <f>BLOCK_CATALOG!C86</f>
        <v>0</v>
      </c>
      <c r="D86" s="8">
        <f>BLOCK_CATALOG!E86</f>
        <v>0</v>
      </c>
      <c r="E86" s="8">
        <f>BLOCK_CATALOG!D86</f>
        <v>0</v>
      </c>
      <c r="F86" s="8">
        <f>BLOCK_CATALOG!N86</f>
        <v>0</v>
      </c>
      <c r="G86" s="8">
        <f>BLOCK_CATALOG!I86</f>
        <v>0</v>
      </c>
      <c r="H86" s="7">
        <f>BLOCK_CATALOG!G86</f>
        <v>0</v>
      </c>
      <c r="I86" s="8"/>
      <c r="J86" s="8">
        <f>BLOCK_CATALOG!J86</f>
        <v>0</v>
      </c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8">
        <f>BLOCK_CATALOG!A87</f>
        <v>0</v>
      </c>
      <c r="B87" s="8">
        <f>BLOCK_CATALOG!B87</f>
        <v>0</v>
      </c>
      <c r="C87" s="8">
        <f>BLOCK_CATALOG!C87</f>
        <v>0</v>
      </c>
      <c r="D87" s="8">
        <f>BLOCK_CATALOG!E87</f>
        <v>0</v>
      </c>
      <c r="E87" s="8">
        <f>BLOCK_CATALOG!D87</f>
        <v>0</v>
      </c>
      <c r="F87" s="8">
        <f>BLOCK_CATALOG!N87</f>
        <v>0</v>
      </c>
      <c r="G87" s="8">
        <f>BLOCK_CATALOG!I87</f>
        <v>0</v>
      </c>
      <c r="H87" s="7">
        <f>BLOCK_CATALOG!G87</f>
        <v>0</v>
      </c>
      <c r="I87" s="8"/>
      <c r="J87" s="8">
        <f>BLOCK_CATALOG!J87</f>
        <v>0</v>
      </c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8">
        <f>BLOCK_CATALOG!A88</f>
        <v>0</v>
      </c>
      <c r="B88" s="8">
        <f>BLOCK_CATALOG!B88</f>
        <v>0</v>
      </c>
      <c r="C88" s="8">
        <f>BLOCK_CATALOG!C88</f>
        <v>0</v>
      </c>
      <c r="D88" s="8">
        <f>BLOCK_CATALOG!E88</f>
        <v>0</v>
      </c>
      <c r="E88" s="8">
        <f>BLOCK_CATALOG!D88</f>
        <v>0</v>
      </c>
      <c r="F88" s="8">
        <f>BLOCK_CATALOG!N88</f>
        <v>0</v>
      </c>
      <c r="G88" s="8">
        <f>BLOCK_CATALOG!I88</f>
        <v>0</v>
      </c>
      <c r="H88" s="7">
        <f>BLOCK_CATALOG!G88</f>
        <v>0</v>
      </c>
      <c r="I88" s="8"/>
      <c r="J88" s="8">
        <f>BLOCK_CATALOG!J88</f>
        <v>0</v>
      </c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8">
        <f>BLOCK_CATALOG!A89</f>
        <v>0</v>
      </c>
      <c r="B89" s="8">
        <f>BLOCK_CATALOG!B89</f>
        <v>0</v>
      </c>
      <c r="C89" s="8">
        <f>BLOCK_CATALOG!C89</f>
        <v>0</v>
      </c>
      <c r="D89" s="8">
        <f>BLOCK_CATALOG!E89</f>
        <v>0</v>
      </c>
      <c r="E89" s="8">
        <f>BLOCK_CATALOG!D89</f>
        <v>0</v>
      </c>
      <c r="F89" s="8">
        <f>BLOCK_CATALOG!N89</f>
        <v>0</v>
      </c>
      <c r="G89" s="8">
        <f>BLOCK_CATALOG!I89</f>
        <v>0</v>
      </c>
      <c r="H89" s="7">
        <f>BLOCK_CATALOG!G89</f>
        <v>0</v>
      </c>
      <c r="I89" s="8"/>
      <c r="J89" s="8">
        <f>BLOCK_CATALOG!J89</f>
        <v>0</v>
      </c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8">
        <f>BLOCK_CATALOG!A90</f>
        <v>0</v>
      </c>
      <c r="B90" s="8">
        <f>BLOCK_CATALOG!B90</f>
        <v>0</v>
      </c>
      <c r="C90" s="8">
        <f>BLOCK_CATALOG!C90</f>
        <v>0</v>
      </c>
      <c r="D90" s="8">
        <f>BLOCK_CATALOG!E90</f>
        <v>0</v>
      </c>
      <c r="E90" s="8">
        <f>BLOCK_CATALOG!D90</f>
        <v>0</v>
      </c>
      <c r="F90" s="8">
        <f>BLOCK_CATALOG!N90</f>
        <v>0</v>
      </c>
      <c r="G90" s="8">
        <f>BLOCK_CATALOG!I90</f>
        <v>0</v>
      </c>
      <c r="H90" s="7">
        <f>BLOCK_CATALOG!G90</f>
        <v>0</v>
      </c>
      <c r="I90" s="8"/>
      <c r="J90" s="8">
        <f>BLOCK_CATALOG!J90</f>
        <v>0</v>
      </c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8">
        <f>BLOCK_CATALOG!A91</f>
        <v>0</v>
      </c>
      <c r="B91" s="8">
        <f>BLOCK_CATALOG!B91</f>
        <v>0</v>
      </c>
      <c r="C91" s="8">
        <f>BLOCK_CATALOG!C91</f>
        <v>0</v>
      </c>
      <c r="D91" s="8">
        <f>BLOCK_CATALOG!E91</f>
        <v>0</v>
      </c>
      <c r="E91" s="8">
        <f>BLOCK_CATALOG!D91</f>
        <v>0</v>
      </c>
      <c r="F91" s="8">
        <f>BLOCK_CATALOG!N91</f>
        <v>0</v>
      </c>
      <c r="G91" s="8">
        <f>BLOCK_CATALOG!I91</f>
        <v>0</v>
      </c>
      <c r="H91" s="7">
        <f>BLOCK_CATALOG!G91</f>
        <v>0</v>
      </c>
      <c r="I91" s="8"/>
      <c r="J91" s="8">
        <f>BLOCK_CATALOG!J91</f>
        <v>0</v>
      </c>
      <c r="K91" s="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8">
        <f>BLOCK_CATALOG!A92</f>
        <v>0</v>
      </c>
      <c r="B92" s="8">
        <f>BLOCK_CATALOG!B92</f>
        <v>0</v>
      </c>
      <c r="C92" s="8">
        <f>BLOCK_CATALOG!C92</f>
        <v>0</v>
      </c>
      <c r="D92" s="8">
        <f>BLOCK_CATALOG!E92</f>
        <v>0</v>
      </c>
      <c r="E92" s="8">
        <f>BLOCK_CATALOG!D92</f>
        <v>0</v>
      </c>
      <c r="F92" s="8">
        <f>BLOCK_CATALOG!N92</f>
        <v>0</v>
      </c>
      <c r="G92" s="8">
        <f>BLOCK_CATALOG!I92</f>
        <v>0</v>
      </c>
      <c r="H92" s="7">
        <f>BLOCK_CATALOG!G92</f>
        <v>0</v>
      </c>
      <c r="I92" s="8"/>
      <c r="J92" s="8">
        <f>BLOCK_CATALOG!J92</f>
        <v>0</v>
      </c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8">
        <f>BLOCK_CATALOG!A93</f>
        <v>0</v>
      </c>
      <c r="B93" s="8">
        <f>BLOCK_CATALOG!B93</f>
        <v>0</v>
      </c>
      <c r="C93" s="8">
        <f>BLOCK_CATALOG!C93</f>
        <v>0</v>
      </c>
      <c r="D93" s="8">
        <f>BLOCK_CATALOG!E93</f>
        <v>0</v>
      </c>
      <c r="E93" s="8">
        <f>BLOCK_CATALOG!D93</f>
        <v>0</v>
      </c>
      <c r="F93" s="8">
        <f>BLOCK_CATALOG!N93</f>
        <v>0</v>
      </c>
      <c r="G93" s="8">
        <f>BLOCK_CATALOG!I93</f>
        <v>0</v>
      </c>
      <c r="H93" s="7">
        <f>BLOCK_CATALOG!G93</f>
        <v>0</v>
      </c>
      <c r="I93" s="8"/>
      <c r="J93" s="8">
        <f>BLOCK_CATALOG!J93</f>
        <v>0</v>
      </c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8">
        <f>BLOCK_CATALOG!A94</f>
        <v>0</v>
      </c>
      <c r="B94" s="8">
        <f>BLOCK_CATALOG!B94</f>
        <v>0</v>
      </c>
      <c r="C94" s="8">
        <f>BLOCK_CATALOG!C94</f>
        <v>0</v>
      </c>
      <c r="D94" s="8">
        <f>BLOCK_CATALOG!E94</f>
        <v>0</v>
      </c>
      <c r="E94" s="8">
        <f>BLOCK_CATALOG!D94</f>
        <v>0</v>
      </c>
      <c r="F94" s="8">
        <f>BLOCK_CATALOG!N94</f>
        <v>0</v>
      </c>
      <c r="G94" s="8">
        <f>BLOCK_CATALOG!I94</f>
        <v>0</v>
      </c>
      <c r="H94" s="7">
        <f>BLOCK_CATALOG!G94</f>
        <v>0</v>
      </c>
      <c r="I94" s="8"/>
      <c r="J94" s="8">
        <f>BLOCK_CATALOG!J94</f>
        <v>0</v>
      </c>
      <c r="K94" s="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8">
        <f>BLOCK_CATALOG!A95</f>
        <v>0</v>
      </c>
      <c r="B95" s="8">
        <f>BLOCK_CATALOG!B95</f>
        <v>0</v>
      </c>
      <c r="C95" s="8">
        <f>BLOCK_CATALOG!C95</f>
        <v>0</v>
      </c>
      <c r="D95" s="8">
        <f>BLOCK_CATALOG!E95</f>
        <v>0</v>
      </c>
      <c r="E95" s="8">
        <f>BLOCK_CATALOG!D95</f>
        <v>0</v>
      </c>
      <c r="F95" s="8">
        <f>BLOCK_CATALOG!N95</f>
        <v>0</v>
      </c>
      <c r="G95" s="8">
        <f>BLOCK_CATALOG!I95</f>
        <v>0</v>
      </c>
      <c r="H95" s="7">
        <f>BLOCK_CATALOG!G95</f>
        <v>0</v>
      </c>
      <c r="I95" s="8"/>
      <c r="J95" s="8">
        <f>BLOCK_CATALOG!J95</f>
        <v>0</v>
      </c>
      <c r="K95" s="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8">
        <f>BLOCK_CATALOG!A96</f>
        <v>0</v>
      </c>
      <c r="B96" s="8">
        <f>BLOCK_CATALOG!B96</f>
        <v>0</v>
      </c>
      <c r="C96" s="8">
        <f>BLOCK_CATALOG!C96</f>
        <v>0</v>
      </c>
      <c r="D96" s="8">
        <f>BLOCK_CATALOG!E96</f>
        <v>0</v>
      </c>
      <c r="E96" s="8">
        <f>BLOCK_CATALOG!D96</f>
        <v>0</v>
      </c>
      <c r="F96" s="8">
        <f>BLOCK_CATALOG!N96</f>
        <v>0</v>
      </c>
      <c r="G96" s="8">
        <f>BLOCK_CATALOG!I96</f>
        <v>0</v>
      </c>
      <c r="H96" s="7">
        <f>BLOCK_CATALOG!G96</f>
        <v>0</v>
      </c>
      <c r="I96" s="8"/>
      <c r="J96" s="8">
        <f>BLOCK_CATALOG!J96</f>
        <v>0</v>
      </c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8">
        <f>BLOCK_CATALOG!A97</f>
        <v>0</v>
      </c>
      <c r="B97" s="8">
        <f>BLOCK_CATALOG!B97</f>
        <v>0</v>
      </c>
      <c r="C97" s="8">
        <f>BLOCK_CATALOG!C97</f>
        <v>0</v>
      </c>
      <c r="D97" s="8">
        <f>BLOCK_CATALOG!E97</f>
        <v>0</v>
      </c>
      <c r="E97" s="8">
        <f>BLOCK_CATALOG!D97</f>
        <v>0</v>
      </c>
      <c r="F97" s="8">
        <f>BLOCK_CATALOG!N97</f>
        <v>0</v>
      </c>
      <c r="G97" s="8">
        <f>BLOCK_CATALOG!I97</f>
        <v>0</v>
      </c>
      <c r="H97" s="7">
        <f>BLOCK_CATALOG!G97</f>
        <v>0</v>
      </c>
      <c r="I97" s="8"/>
      <c r="J97" s="8">
        <f>BLOCK_CATALOG!J97</f>
        <v>0</v>
      </c>
      <c r="K97" s="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8">
        <f>BLOCK_CATALOG!A98</f>
        <v>0</v>
      </c>
      <c r="B98" s="8">
        <f>BLOCK_CATALOG!B98</f>
        <v>0</v>
      </c>
      <c r="C98" s="8">
        <f>BLOCK_CATALOG!C98</f>
        <v>0</v>
      </c>
      <c r="D98" s="8">
        <f>BLOCK_CATALOG!E98</f>
        <v>0</v>
      </c>
      <c r="E98" s="8">
        <f>BLOCK_CATALOG!D98</f>
        <v>0</v>
      </c>
      <c r="F98" s="8">
        <f>BLOCK_CATALOG!N98</f>
        <v>0</v>
      </c>
      <c r="G98" s="8">
        <f>BLOCK_CATALOG!I98</f>
        <v>0</v>
      </c>
      <c r="H98" s="7">
        <f>BLOCK_CATALOG!G98</f>
        <v>0</v>
      </c>
      <c r="I98" s="8"/>
      <c r="J98" s="8">
        <f>BLOCK_CATALOG!J98</f>
        <v>0</v>
      </c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8">
        <f>BLOCK_CATALOG!A99</f>
        <v>0</v>
      </c>
      <c r="B99" s="8">
        <f>BLOCK_CATALOG!B99</f>
        <v>0</v>
      </c>
      <c r="C99" s="8">
        <f>BLOCK_CATALOG!C99</f>
        <v>0</v>
      </c>
      <c r="D99" s="8">
        <f>BLOCK_CATALOG!E99</f>
        <v>0</v>
      </c>
      <c r="E99" s="8">
        <f>BLOCK_CATALOG!D99</f>
        <v>0</v>
      </c>
      <c r="F99" s="8">
        <f>BLOCK_CATALOG!N99</f>
        <v>0</v>
      </c>
      <c r="G99" s="8">
        <f>BLOCK_CATALOG!I99</f>
        <v>0</v>
      </c>
      <c r="H99" s="7">
        <f>BLOCK_CATALOG!G99</f>
        <v>0</v>
      </c>
      <c r="I99" s="8"/>
      <c r="J99" s="8">
        <f>BLOCK_CATALOG!J99</f>
        <v>0</v>
      </c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8">
        <f>BLOCK_CATALOG!A100</f>
        <v>0</v>
      </c>
      <c r="B100" s="8">
        <f>BLOCK_CATALOG!B100</f>
        <v>0</v>
      </c>
      <c r="C100" s="8">
        <f>BLOCK_CATALOG!C100</f>
        <v>0</v>
      </c>
      <c r="D100" s="8">
        <f>BLOCK_CATALOG!E100</f>
        <v>0</v>
      </c>
      <c r="E100" s="8">
        <f>BLOCK_CATALOG!D100</f>
        <v>0</v>
      </c>
      <c r="F100" s="8">
        <f>BLOCK_CATALOG!N100</f>
        <v>0</v>
      </c>
      <c r="G100" s="8">
        <f>BLOCK_CATALOG!I100</f>
        <v>0</v>
      </c>
      <c r="H100" s="7">
        <f>BLOCK_CATALOG!G100</f>
        <v>0</v>
      </c>
      <c r="I100" s="8"/>
      <c r="J100" s="8">
        <f>BLOCK_CATALOG!J100</f>
        <v>0</v>
      </c>
      <c r="K100" s="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>
        <f>BLOCK_CATALOG!A101</f>
        <v>0</v>
      </c>
      <c r="B101" s="8">
        <f>BLOCK_CATALOG!B101</f>
        <v>0</v>
      </c>
      <c r="C101" s="8">
        <f>BLOCK_CATALOG!C101</f>
        <v>0</v>
      </c>
      <c r="D101" s="8">
        <f>BLOCK_CATALOG!E101</f>
        <v>0</v>
      </c>
      <c r="E101" s="8">
        <f>BLOCK_CATALOG!D101</f>
        <v>0</v>
      </c>
      <c r="F101" s="8">
        <f>BLOCK_CATALOG!N101</f>
        <v>0</v>
      </c>
      <c r="G101" s="8">
        <f>BLOCK_CATALOG!I101</f>
        <v>0</v>
      </c>
      <c r="H101" s="7">
        <f>BLOCK_CATALOG!G101</f>
        <v>0</v>
      </c>
      <c r="I101" s="8"/>
      <c r="J101" s="8">
        <f>BLOCK_CATALOG!J101</f>
        <v>0</v>
      </c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>
        <f>BLOCK_CATALOG!A102</f>
        <v>0</v>
      </c>
      <c r="B102" s="8">
        <f>BLOCK_CATALOG!B102</f>
        <v>0</v>
      </c>
      <c r="C102" s="8">
        <f>BLOCK_CATALOG!C102</f>
        <v>0</v>
      </c>
      <c r="D102" s="8">
        <f>BLOCK_CATALOG!E102</f>
        <v>0</v>
      </c>
      <c r="E102" s="8">
        <f>BLOCK_CATALOG!D102</f>
        <v>0</v>
      </c>
      <c r="F102" s="8">
        <f>BLOCK_CATALOG!N102</f>
        <v>0</v>
      </c>
      <c r="G102" s="8">
        <f>BLOCK_CATALOG!I102</f>
        <v>0</v>
      </c>
      <c r="H102" s="7">
        <f>BLOCK_CATALOG!G102</f>
        <v>0</v>
      </c>
      <c r="I102" s="8"/>
      <c r="J102" s="8">
        <f>BLOCK_CATALOG!J102</f>
        <v>0</v>
      </c>
      <c r="K102" s="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>
        <f>BLOCK_CATALOG!A103</f>
        <v>0</v>
      </c>
      <c r="B103" s="8">
        <f>BLOCK_CATALOG!B103</f>
        <v>0</v>
      </c>
      <c r="C103" s="8">
        <f>BLOCK_CATALOG!C103</f>
        <v>0</v>
      </c>
      <c r="D103" s="8">
        <f>BLOCK_CATALOG!E103</f>
        <v>0</v>
      </c>
      <c r="E103" s="8">
        <f>BLOCK_CATALOG!D103</f>
        <v>0</v>
      </c>
      <c r="F103" s="8">
        <f>BLOCK_CATALOG!N103</f>
        <v>0</v>
      </c>
      <c r="G103" s="8">
        <f>BLOCK_CATALOG!I103</f>
        <v>0</v>
      </c>
      <c r="H103" s="7">
        <f>BLOCK_CATALOG!G103</f>
        <v>0</v>
      </c>
      <c r="I103" s="8"/>
      <c r="J103" s="8">
        <f>BLOCK_CATALOG!J103</f>
        <v>0</v>
      </c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>
        <f>BLOCK_CATALOG!A104</f>
        <v>0</v>
      </c>
      <c r="B104" s="8">
        <f>BLOCK_CATALOG!B104</f>
        <v>0</v>
      </c>
      <c r="C104" s="8">
        <f>BLOCK_CATALOG!C104</f>
        <v>0</v>
      </c>
      <c r="D104" s="8">
        <f>BLOCK_CATALOG!E104</f>
        <v>0</v>
      </c>
      <c r="E104" s="8">
        <f>BLOCK_CATALOG!D104</f>
        <v>0</v>
      </c>
      <c r="F104" s="8">
        <f>BLOCK_CATALOG!N104</f>
        <v>0</v>
      </c>
      <c r="G104" s="8">
        <f>BLOCK_CATALOG!I104</f>
        <v>0</v>
      </c>
      <c r="H104" s="7">
        <f>BLOCK_CATALOG!G104</f>
        <v>0</v>
      </c>
      <c r="I104" s="8"/>
      <c r="J104" s="8">
        <f>BLOCK_CATALOG!J104</f>
        <v>0</v>
      </c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00"/>
  <sheetViews>
    <sheetView workbookViewId="0">
      <selection sqref="A1:K1"/>
    </sheetView>
  </sheetViews>
  <sheetFormatPr defaultRowHeight="14.25"/>
  <cols>
    <col min="1" max="1" width="25" customWidth="1"/>
    <col min="2" max="2" width="13" customWidth="1"/>
    <col min="3" max="3" width="14" customWidth="1"/>
    <col min="4" max="4" width="20" customWidth="1"/>
    <col min="5" max="5" width="14" customWidth="1"/>
    <col min="6" max="7" width="16" customWidth="1"/>
    <col min="8" max="8" width="13" customWidth="1"/>
    <col min="9" max="9" width="14" customWidth="1"/>
    <col min="10" max="10" width="30" customWidth="1"/>
    <col min="11" max="11" width="36" customWidth="1"/>
  </cols>
  <sheetData>
    <row r="1" spans="1:26" ht="33.950000000000003" customHeight="1">
      <c r="A1" s="14" t="s">
        <v>161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42</v>
      </c>
      <c r="B4" s="1" t="s">
        <v>43</v>
      </c>
      <c r="C4" s="1" t="s">
        <v>44</v>
      </c>
      <c r="D4" s="1" t="s">
        <v>163</v>
      </c>
      <c r="E4" s="1" t="s">
        <v>46</v>
      </c>
      <c r="F4" s="1" t="s">
        <v>22</v>
      </c>
      <c r="G4" s="1" t="s">
        <v>164</v>
      </c>
      <c r="H4" s="1" t="s">
        <v>165</v>
      </c>
      <c r="I4" s="1" t="s">
        <v>47</v>
      </c>
      <c r="J4" s="1" t="s">
        <v>166</v>
      </c>
      <c r="K4" s="1" t="s">
        <v>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tr">
        <f>BLOCK_CATALOG!A5</f>
        <v>D_UTILITIES_MANHOLE</v>
      </c>
      <c r="B5" s="8" t="str">
        <f>BLOCK_CATALOG!C5</f>
        <v>Dynamic</v>
      </c>
      <c r="C5" s="8" t="str">
        <f>BLOCK_CATALOG!D5</f>
        <v>Production</v>
      </c>
      <c r="D5" s="8" t="str">
        <f>BLOCK_CATALOG!E5</f>
        <v>2.1.0</v>
      </c>
      <c r="E5" s="8" t="str">
        <f>BLOCK_CATALOG!F5</f>
        <v>2.1.0</v>
      </c>
      <c r="F5" s="8" t="str">
        <f t="shared" ref="F5:F36" si="0">IF(A5="","",IF(D5&lt;&gt;E5,"YES","NO"))</f>
        <v>NO</v>
      </c>
      <c r="G5" s="8" t="s">
        <v>167</v>
      </c>
      <c r="H5" s="8" t="str">
        <f t="shared" ref="H5:H36" si="1">IF(A5="","",E5)</f>
        <v>2.1.0</v>
      </c>
      <c r="I5" s="7">
        <f>BLOCK_CATALOG!G5</f>
        <v>46190</v>
      </c>
      <c r="J5" s="8" t="str">
        <f t="shared" ref="J5:J36" si="2">IF(A5="","",A5&amp;"-v"&amp;H5&amp;".zip")</f>
        <v>D_UTILITIES_MANHOLE-v2.1.0.zip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tr">
        <f>BLOCK_CATALOG!A6</f>
        <v>D_UTILITIES_PEDESTAL</v>
      </c>
      <c r="B6" s="8" t="str">
        <f>BLOCK_CATALOG!C6</f>
        <v>Dynamic</v>
      </c>
      <c r="C6" s="8" t="str">
        <f>BLOCK_CATALOG!D6</f>
        <v>Development</v>
      </c>
      <c r="D6" s="8" t="str">
        <f>BLOCK_CATALOG!E6</f>
        <v>1.0.0</v>
      </c>
      <c r="E6" s="8" t="str">
        <f>BLOCK_CATALOG!F6</f>
        <v>1.1.0</v>
      </c>
      <c r="F6" s="8" t="str">
        <f t="shared" si="0"/>
        <v>YES</v>
      </c>
      <c r="G6" s="8" t="s">
        <v>167</v>
      </c>
      <c r="H6" s="8" t="str">
        <f t="shared" si="1"/>
        <v>1.1.0</v>
      </c>
      <c r="I6" s="7">
        <f>BLOCK_CATALOG!G6</f>
        <v>0</v>
      </c>
      <c r="J6" s="8" t="str">
        <f t="shared" si="2"/>
        <v>D_UTILITIES_PEDESTAL-v1.1.0.zip</v>
      </c>
      <c r="K6" s="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tr">
        <f>BLOCK_CATALOG!A7</f>
        <v>S_UTILITIES_MANHOLE</v>
      </c>
      <c r="B7" s="8" t="str">
        <f>BLOCK_CATALOG!C7</f>
        <v>Static</v>
      </c>
      <c r="C7" s="8" t="str">
        <f>BLOCK_CATALOG!D7</f>
        <v>Production</v>
      </c>
      <c r="D7" s="8" t="str">
        <f>BLOCK_CATALOG!E7</f>
        <v>1.0.0</v>
      </c>
      <c r="E7" s="8" t="str">
        <f>BLOCK_CATALOG!F7</f>
        <v>1.0.0</v>
      </c>
      <c r="F7" s="8" t="str">
        <f t="shared" si="0"/>
        <v>NO</v>
      </c>
      <c r="G7" s="8" t="s">
        <v>167</v>
      </c>
      <c r="H7" s="8" t="str">
        <f t="shared" si="1"/>
        <v>1.0.0</v>
      </c>
      <c r="I7" s="7">
        <f>BLOCK_CATALOG!G7</f>
        <v>46190</v>
      </c>
      <c r="J7" s="8" t="str">
        <f t="shared" si="2"/>
        <v>S_UTILITIES_MANHOLE-v1.0.0.zip</v>
      </c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tr">
        <f>BLOCK_CATALOG!A8</f>
        <v>D_UTILITIES_VALVE</v>
      </c>
      <c r="B8" s="8" t="str">
        <f>BLOCK_CATALOG!C8</f>
        <v>Dynamic</v>
      </c>
      <c r="C8" s="8" t="str">
        <f>BLOCK_CATALOG!D8</f>
        <v>Testing</v>
      </c>
      <c r="D8" s="8" t="str">
        <f>BLOCK_CATALOG!E8</f>
        <v>0.9.0</v>
      </c>
      <c r="E8" s="8" t="str">
        <f>BLOCK_CATALOG!F8</f>
        <v>1.0.0</v>
      </c>
      <c r="F8" s="8" t="str">
        <f t="shared" si="0"/>
        <v>YES</v>
      </c>
      <c r="G8" s="8" t="s">
        <v>167</v>
      </c>
      <c r="H8" s="8" t="str">
        <f t="shared" si="1"/>
        <v>1.0.0</v>
      </c>
      <c r="I8" s="7">
        <f>BLOCK_CATALOG!G8</f>
        <v>0</v>
      </c>
      <c r="J8" s="8" t="str">
        <f t="shared" si="2"/>
        <v>D_UTILITIES_VALVE-v1.0.0.zip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>
        <f>BLOCK_CATALOG!A9</f>
        <v>0</v>
      </c>
      <c r="B9" s="8">
        <f>BLOCK_CATALOG!C9</f>
        <v>0</v>
      </c>
      <c r="C9" s="8">
        <f>BLOCK_CATALOG!D9</f>
        <v>0</v>
      </c>
      <c r="D9" s="8">
        <f>BLOCK_CATALOG!E9</f>
        <v>0</v>
      </c>
      <c r="E9" s="8">
        <f>BLOCK_CATALOG!F9</f>
        <v>0</v>
      </c>
      <c r="F9" s="8" t="str">
        <f t="shared" si="0"/>
        <v>NO</v>
      </c>
      <c r="G9" s="8" t="s">
        <v>167</v>
      </c>
      <c r="H9" s="8">
        <f t="shared" si="1"/>
        <v>0</v>
      </c>
      <c r="I9" s="7">
        <f>BLOCK_CATALOG!G9</f>
        <v>0</v>
      </c>
      <c r="J9" s="8" t="str">
        <f t="shared" si="2"/>
        <v>0-v0.zip</v>
      </c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>
        <f>BLOCK_CATALOG!A10</f>
        <v>0</v>
      </c>
      <c r="B10" s="8">
        <f>BLOCK_CATALOG!C10</f>
        <v>0</v>
      </c>
      <c r="C10" s="8">
        <f>BLOCK_CATALOG!D10</f>
        <v>0</v>
      </c>
      <c r="D10" s="8">
        <f>BLOCK_CATALOG!E10</f>
        <v>0</v>
      </c>
      <c r="E10" s="8">
        <f>BLOCK_CATALOG!F10</f>
        <v>0</v>
      </c>
      <c r="F10" s="8" t="str">
        <f t="shared" si="0"/>
        <v>NO</v>
      </c>
      <c r="G10" s="8" t="s">
        <v>167</v>
      </c>
      <c r="H10" s="8">
        <f t="shared" si="1"/>
        <v>0</v>
      </c>
      <c r="I10" s="7">
        <f>BLOCK_CATALOG!G10</f>
        <v>0</v>
      </c>
      <c r="J10" s="8" t="str">
        <f t="shared" si="2"/>
        <v>0-v0.zip</v>
      </c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>
        <f>BLOCK_CATALOG!A11</f>
        <v>0</v>
      </c>
      <c r="B11" s="8">
        <f>BLOCK_CATALOG!C11</f>
        <v>0</v>
      </c>
      <c r="C11" s="8">
        <f>BLOCK_CATALOG!D11</f>
        <v>0</v>
      </c>
      <c r="D11" s="8">
        <f>BLOCK_CATALOG!E11</f>
        <v>0</v>
      </c>
      <c r="E11" s="8">
        <f>BLOCK_CATALOG!F11</f>
        <v>0</v>
      </c>
      <c r="F11" s="8" t="str">
        <f t="shared" si="0"/>
        <v>NO</v>
      </c>
      <c r="G11" s="8" t="s">
        <v>167</v>
      </c>
      <c r="H11" s="8">
        <f t="shared" si="1"/>
        <v>0</v>
      </c>
      <c r="I11" s="7">
        <f>BLOCK_CATALOG!G11</f>
        <v>0</v>
      </c>
      <c r="J11" s="8" t="str">
        <f t="shared" si="2"/>
        <v>0-v0.zip</v>
      </c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>
        <f>BLOCK_CATALOG!A12</f>
        <v>0</v>
      </c>
      <c r="B12" s="8">
        <f>BLOCK_CATALOG!C12</f>
        <v>0</v>
      </c>
      <c r="C12" s="8">
        <f>BLOCK_CATALOG!D12</f>
        <v>0</v>
      </c>
      <c r="D12" s="8">
        <f>BLOCK_CATALOG!E12</f>
        <v>0</v>
      </c>
      <c r="E12" s="8">
        <f>BLOCK_CATALOG!F12</f>
        <v>0</v>
      </c>
      <c r="F12" s="8" t="str">
        <f t="shared" si="0"/>
        <v>NO</v>
      </c>
      <c r="G12" s="8" t="s">
        <v>167</v>
      </c>
      <c r="H12" s="8">
        <f t="shared" si="1"/>
        <v>0</v>
      </c>
      <c r="I12" s="7">
        <f>BLOCK_CATALOG!G12</f>
        <v>0</v>
      </c>
      <c r="J12" s="8" t="str">
        <f t="shared" si="2"/>
        <v>0-v0.zip</v>
      </c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>
        <f>BLOCK_CATALOG!A13</f>
        <v>0</v>
      </c>
      <c r="B13" s="8">
        <f>BLOCK_CATALOG!C13</f>
        <v>0</v>
      </c>
      <c r="C13" s="8">
        <f>BLOCK_CATALOG!D13</f>
        <v>0</v>
      </c>
      <c r="D13" s="8">
        <f>BLOCK_CATALOG!E13</f>
        <v>0</v>
      </c>
      <c r="E13" s="8">
        <f>BLOCK_CATALOG!F13</f>
        <v>0</v>
      </c>
      <c r="F13" s="8" t="str">
        <f t="shared" si="0"/>
        <v>NO</v>
      </c>
      <c r="G13" s="8" t="s">
        <v>167</v>
      </c>
      <c r="H13" s="8">
        <f t="shared" si="1"/>
        <v>0</v>
      </c>
      <c r="I13" s="7">
        <f>BLOCK_CATALOG!G13</f>
        <v>0</v>
      </c>
      <c r="J13" s="8" t="str">
        <f t="shared" si="2"/>
        <v>0-v0.zip</v>
      </c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>
        <f>BLOCK_CATALOG!A14</f>
        <v>0</v>
      </c>
      <c r="B14" s="8">
        <f>BLOCK_CATALOG!C14</f>
        <v>0</v>
      </c>
      <c r="C14" s="8">
        <f>BLOCK_CATALOG!D14</f>
        <v>0</v>
      </c>
      <c r="D14" s="8">
        <f>BLOCK_CATALOG!E14</f>
        <v>0</v>
      </c>
      <c r="E14" s="8">
        <f>BLOCK_CATALOG!F14</f>
        <v>0</v>
      </c>
      <c r="F14" s="8" t="str">
        <f t="shared" si="0"/>
        <v>NO</v>
      </c>
      <c r="G14" s="8" t="s">
        <v>167</v>
      </c>
      <c r="H14" s="8">
        <f t="shared" si="1"/>
        <v>0</v>
      </c>
      <c r="I14" s="7">
        <f>BLOCK_CATALOG!G14</f>
        <v>0</v>
      </c>
      <c r="J14" s="8" t="str">
        <f t="shared" si="2"/>
        <v>0-v0.zip</v>
      </c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>
        <f>BLOCK_CATALOG!A15</f>
        <v>0</v>
      </c>
      <c r="B15" s="8">
        <f>BLOCK_CATALOG!C15</f>
        <v>0</v>
      </c>
      <c r="C15" s="8">
        <f>BLOCK_CATALOG!D15</f>
        <v>0</v>
      </c>
      <c r="D15" s="8">
        <f>BLOCK_CATALOG!E15</f>
        <v>0</v>
      </c>
      <c r="E15" s="8">
        <f>BLOCK_CATALOG!F15</f>
        <v>0</v>
      </c>
      <c r="F15" s="8" t="str">
        <f t="shared" si="0"/>
        <v>NO</v>
      </c>
      <c r="G15" s="8" t="s">
        <v>167</v>
      </c>
      <c r="H15" s="8">
        <f t="shared" si="1"/>
        <v>0</v>
      </c>
      <c r="I15" s="7">
        <f>BLOCK_CATALOG!G15</f>
        <v>0</v>
      </c>
      <c r="J15" s="8" t="str">
        <f t="shared" si="2"/>
        <v>0-v0.zip</v>
      </c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>
        <f>BLOCK_CATALOG!A16</f>
        <v>0</v>
      </c>
      <c r="B16" s="8">
        <f>BLOCK_CATALOG!C16</f>
        <v>0</v>
      </c>
      <c r="C16" s="8">
        <f>BLOCK_CATALOG!D16</f>
        <v>0</v>
      </c>
      <c r="D16" s="8">
        <f>BLOCK_CATALOG!E16</f>
        <v>0</v>
      </c>
      <c r="E16" s="8">
        <f>BLOCK_CATALOG!F16</f>
        <v>0</v>
      </c>
      <c r="F16" s="8" t="str">
        <f t="shared" si="0"/>
        <v>NO</v>
      </c>
      <c r="G16" s="8" t="s">
        <v>167</v>
      </c>
      <c r="H16" s="8">
        <f t="shared" si="1"/>
        <v>0</v>
      </c>
      <c r="I16" s="7">
        <f>BLOCK_CATALOG!G16</f>
        <v>0</v>
      </c>
      <c r="J16" s="8" t="str">
        <f t="shared" si="2"/>
        <v>0-v0.zip</v>
      </c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8">
        <f>BLOCK_CATALOG!A17</f>
        <v>0</v>
      </c>
      <c r="B17" s="8">
        <f>BLOCK_CATALOG!C17</f>
        <v>0</v>
      </c>
      <c r="C17" s="8">
        <f>BLOCK_CATALOG!D17</f>
        <v>0</v>
      </c>
      <c r="D17" s="8">
        <f>BLOCK_CATALOG!E17</f>
        <v>0</v>
      </c>
      <c r="E17" s="8">
        <f>BLOCK_CATALOG!F17</f>
        <v>0</v>
      </c>
      <c r="F17" s="8" t="str">
        <f t="shared" si="0"/>
        <v>NO</v>
      </c>
      <c r="G17" s="8" t="s">
        <v>167</v>
      </c>
      <c r="H17" s="8">
        <f t="shared" si="1"/>
        <v>0</v>
      </c>
      <c r="I17" s="7">
        <f>BLOCK_CATALOG!G17</f>
        <v>0</v>
      </c>
      <c r="J17" s="8" t="str">
        <f t="shared" si="2"/>
        <v>0-v0.zip</v>
      </c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>
        <f>BLOCK_CATALOG!A18</f>
        <v>0</v>
      </c>
      <c r="B18" s="8">
        <f>BLOCK_CATALOG!C18</f>
        <v>0</v>
      </c>
      <c r="C18" s="8">
        <f>BLOCK_CATALOG!D18</f>
        <v>0</v>
      </c>
      <c r="D18" s="8">
        <f>BLOCK_CATALOG!E18</f>
        <v>0</v>
      </c>
      <c r="E18" s="8">
        <f>BLOCK_CATALOG!F18</f>
        <v>0</v>
      </c>
      <c r="F18" s="8" t="str">
        <f t="shared" si="0"/>
        <v>NO</v>
      </c>
      <c r="G18" s="8" t="s">
        <v>167</v>
      </c>
      <c r="H18" s="8">
        <f t="shared" si="1"/>
        <v>0</v>
      </c>
      <c r="I18" s="7">
        <f>BLOCK_CATALOG!G18</f>
        <v>0</v>
      </c>
      <c r="J18" s="8" t="str">
        <f t="shared" si="2"/>
        <v>0-v0.zip</v>
      </c>
      <c r="K18" s="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>
        <f>BLOCK_CATALOG!A19</f>
        <v>0</v>
      </c>
      <c r="B19" s="8">
        <f>BLOCK_CATALOG!C19</f>
        <v>0</v>
      </c>
      <c r="C19" s="8">
        <f>BLOCK_CATALOG!D19</f>
        <v>0</v>
      </c>
      <c r="D19" s="8">
        <f>BLOCK_CATALOG!E19</f>
        <v>0</v>
      </c>
      <c r="E19" s="8">
        <f>BLOCK_CATALOG!F19</f>
        <v>0</v>
      </c>
      <c r="F19" s="8" t="str">
        <f t="shared" si="0"/>
        <v>NO</v>
      </c>
      <c r="G19" s="8" t="s">
        <v>167</v>
      </c>
      <c r="H19" s="8">
        <f t="shared" si="1"/>
        <v>0</v>
      </c>
      <c r="I19" s="7">
        <f>BLOCK_CATALOG!G19</f>
        <v>0</v>
      </c>
      <c r="J19" s="8" t="str">
        <f t="shared" si="2"/>
        <v>0-v0.zip</v>
      </c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>
        <f>BLOCK_CATALOG!A20</f>
        <v>0</v>
      </c>
      <c r="B20" s="8">
        <f>BLOCK_CATALOG!C20</f>
        <v>0</v>
      </c>
      <c r="C20" s="8">
        <f>BLOCK_CATALOG!D20</f>
        <v>0</v>
      </c>
      <c r="D20" s="8">
        <f>BLOCK_CATALOG!E20</f>
        <v>0</v>
      </c>
      <c r="E20" s="8">
        <f>BLOCK_CATALOG!F20</f>
        <v>0</v>
      </c>
      <c r="F20" s="8" t="str">
        <f t="shared" si="0"/>
        <v>NO</v>
      </c>
      <c r="G20" s="8" t="s">
        <v>167</v>
      </c>
      <c r="H20" s="8">
        <f t="shared" si="1"/>
        <v>0</v>
      </c>
      <c r="I20" s="7">
        <f>BLOCK_CATALOG!G20</f>
        <v>0</v>
      </c>
      <c r="J20" s="8" t="str">
        <f t="shared" si="2"/>
        <v>0-v0.zip</v>
      </c>
      <c r="K20" s="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>
        <f>BLOCK_CATALOG!A21</f>
        <v>0</v>
      </c>
      <c r="B21" s="8">
        <f>BLOCK_CATALOG!C21</f>
        <v>0</v>
      </c>
      <c r="C21" s="8">
        <f>BLOCK_CATALOG!D21</f>
        <v>0</v>
      </c>
      <c r="D21" s="8">
        <f>BLOCK_CATALOG!E21</f>
        <v>0</v>
      </c>
      <c r="E21" s="8">
        <f>BLOCK_CATALOG!F21</f>
        <v>0</v>
      </c>
      <c r="F21" s="8" t="str">
        <f t="shared" si="0"/>
        <v>NO</v>
      </c>
      <c r="G21" s="8" t="s">
        <v>167</v>
      </c>
      <c r="H21" s="8">
        <f t="shared" si="1"/>
        <v>0</v>
      </c>
      <c r="I21" s="7">
        <f>BLOCK_CATALOG!G21</f>
        <v>0</v>
      </c>
      <c r="J21" s="8" t="str">
        <f t="shared" si="2"/>
        <v>0-v0.zip</v>
      </c>
      <c r="K21" s="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>
        <f>BLOCK_CATALOG!A22</f>
        <v>0</v>
      </c>
      <c r="B22" s="8">
        <f>BLOCK_CATALOG!C22</f>
        <v>0</v>
      </c>
      <c r="C22" s="8">
        <f>BLOCK_CATALOG!D22</f>
        <v>0</v>
      </c>
      <c r="D22" s="8">
        <f>BLOCK_CATALOG!E22</f>
        <v>0</v>
      </c>
      <c r="E22" s="8">
        <f>BLOCK_CATALOG!F22</f>
        <v>0</v>
      </c>
      <c r="F22" s="8" t="str">
        <f t="shared" si="0"/>
        <v>NO</v>
      </c>
      <c r="G22" s="8" t="s">
        <v>167</v>
      </c>
      <c r="H22" s="8">
        <f t="shared" si="1"/>
        <v>0</v>
      </c>
      <c r="I22" s="7">
        <f>BLOCK_CATALOG!G22</f>
        <v>0</v>
      </c>
      <c r="J22" s="8" t="str">
        <f t="shared" si="2"/>
        <v>0-v0.zip</v>
      </c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>
        <f>BLOCK_CATALOG!A23</f>
        <v>0</v>
      </c>
      <c r="B23" s="8">
        <f>BLOCK_CATALOG!C23</f>
        <v>0</v>
      </c>
      <c r="C23" s="8">
        <f>BLOCK_CATALOG!D23</f>
        <v>0</v>
      </c>
      <c r="D23" s="8">
        <f>BLOCK_CATALOG!E23</f>
        <v>0</v>
      </c>
      <c r="E23" s="8">
        <f>BLOCK_CATALOG!F23</f>
        <v>0</v>
      </c>
      <c r="F23" s="8" t="str">
        <f t="shared" si="0"/>
        <v>NO</v>
      </c>
      <c r="G23" s="8" t="s">
        <v>167</v>
      </c>
      <c r="H23" s="8">
        <f t="shared" si="1"/>
        <v>0</v>
      </c>
      <c r="I23" s="7">
        <f>BLOCK_CATALOG!G23</f>
        <v>0</v>
      </c>
      <c r="J23" s="8" t="str">
        <f t="shared" si="2"/>
        <v>0-v0.zip</v>
      </c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>
        <f>BLOCK_CATALOG!A24</f>
        <v>0</v>
      </c>
      <c r="B24" s="8">
        <f>BLOCK_CATALOG!C24</f>
        <v>0</v>
      </c>
      <c r="C24" s="8">
        <f>BLOCK_CATALOG!D24</f>
        <v>0</v>
      </c>
      <c r="D24" s="8">
        <f>BLOCK_CATALOG!E24</f>
        <v>0</v>
      </c>
      <c r="E24" s="8">
        <f>BLOCK_CATALOG!F24</f>
        <v>0</v>
      </c>
      <c r="F24" s="8" t="str">
        <f t="shared" si="0"/>
        <v>NO</v>
      </c>
      <c r="G24" s="8" t="s">
        <v>167</v>
      </c>
      <c r="H24" s="8">
        <f t="shared" si="1"/>
        <v>0</v>
      </c>
      <c r="I24" s="7">
        <f>BLOCK_CATALOG!G24</f>
        <v>0</v>
      </c>
      <c r="J24" s="8" t="str">
        <f t="shared" si="2"/>
        <v>0-v0.zip</v>
      </c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>
        <f>BLOCK_CATALOG!A25</f>
        <v>0</v>
      </c>
      <c r="B25" s="8">
        <f>BLOCK_CATALOG!C25</f>
        <v>0</v>
      </c>
      <c r="C25" s="8">
        <f>BLOCK_CATALOG!D25</f>
        <v>0</v>
      </c>
      <c r="D25" s="8">
        <f>BLOCK_CATALOG!E25</f>
        <v>0</v>
      </c>
      <c r="E25" s="8">
        <f>BLOCK_CATALOG!F25</f>
        <v>0</v>
      </c>
      <c r="F25" s="8" t="str">
        <f t="shared" si="0"/>
        <v>NO</v>
      </c>
      <c r="G25" s="8" t="s">
        <v>167</v>
      </c>
      <c r="H25" s="8">
        <f t="shared" si="1"/>
        <v>0</v>
      </c>
      <c r="I25" s="7">
        <f>BLOCK_CATALOG!G25</f>
        <v>0</v>
      </c>
      <c r="J25" s="8" t="str">
        <f t="shared" si="2"/>
        <v>0-v0.zip</v>
      </c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>
        <f>BLOCK_CATALOG!A26</f>
        <v>0</v>
      </c>
      <c r="B26" s="8">
        <f>BLOCK_CATALOG!C26</f>
        <v>0</v>
      </c>
      <c r="C26" s="8">
        <f>BLOCK_CATALOG!D26</f>
        <v>0</v>
      </c>
      <c r="D26" s="8">
        <f>BLOCK_CATALOG!E26</f>
        <v>0</v>
      </c>
      <c r="E26" s="8">
        <f>BLOCK_CATALOG!F26</f>
        <v>0</v>
      </c>
      <c r="F26" s="8" t="str">
        <f t="shared" si="0"/>
        <v>NO</v>
      </c>
      <c r="G26" s="8" t="s">
        <v>167</v>
      </c>
      <c r="H26" s="8">
        <f t="shared" si="1"/>
        <v>0</v>
      </c>
      <c r="I26" s="7">
        <f>BLOCK_CATALOG!G26</f>
        <v>0</v>
      </c>
      <c r="J26" s="8" t="str">
        <f t="shared" si="2"/>
        <v>0-v0.zip</v>
      </c>
      <c r="K26" s="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>
        <f>BLOCK_CATALOG!A27</f>
        <v>0</v>
      </c>
      <c r="B27" s="8">
        <f>BLOCK_CATALOG!C27</f>
        <v>0</v>
      </c>
      <c r="C27" s="8">
        <f>BLOCK_CATALOG!D27</f>
        <v>0</v>
      </c>
      <c r="D27" s="8">
        <f>BLOCK_CATALOG!E27</f>
        <v>0</v>
      </c>
      <c r="E27" s="8">
        <f>BLOCK_CATALOG!F27</f>
        <v>0</v>
      </c>
      <c r="F27" s="8" t="str">
        <f t="shared" si="0"/>
        <v>NO</v>
      </c>
      <c r="G27" s="8" t="s">
        <v>167</v>
      </c>
      <c r="H27" s="8">
        <f t="shared" si="1"/>
        <v>0</v>
      </c>
      <c r="I27" s="7">
        <f>BLOCK_CATALOG!G27</f>
        <v>0</v>
      </c>
      <c r="J27" s="8" t="str">
        <f t="shared" si="2"/>
        <v>0-v0.zip</v>
      </c>
      <c r="K27" s="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>
        <f>BLOCK_CATALOG!A28</f>
        <v>0</v>
      </c>
      <c r="B28" s="8">
        <f>BLOCK_CATALOG!C28</f>
        <v>0</v>
      </c>
      <c r="C28" s="8">
        <f>BLOCK_CATALOG!D28</f>
        <v>0</v>
      </c>
      <c r="D28" s="8">
        <f>BLOCK_CATALOG!E28</f>
        <v>0</v>
      </c>
      <c r="E28" s="8">
        <f>BLOCK_CATALOG!F28</f>
        <v>0</v>
      </c>
      <c r="F28" s="8" t="str">
        <f t="shared" si="0"/>
        <v>NO</v>
      </c>
      <c r="G28" s="8" t="s">
        <v>167</v>
      </c>
      <c r="H28" s="8">
        <f t="shared" si="1"/>
        <v>0</v>
      </c>
      <c r="I28" s="7">
        <f>BLOCK_CATALOG!G28</f>
        <v>0</v>
      </c>
      <c r="J28" s="8" t="str">
        <f t="shared" si="2"/>
        <v>0-v0.zip</v>
      </c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>
        <f>BLOCK_CATALOG!A29</f>
        <v>0</v>
      </c>
      <c r="B29" s="8">
        <f>BLOCK_CATALOG!C29</f>
        <v>0</v>
      </c>
      <c r="C29" s="8">
        <f>BLOCK_CATALOG!D29</f>
        <v>0</v>
      </c>
      <c r="D29" s="8">
        <f>BLOCK_CATALOG!E29</f>
        <v>0</v>
      </c>
      <c r="E29" s="8">
        <f>BLOCK_CATALOG!F29</f>
        <v>0</v>
      </c>
      <c r="F29" s="8" t="str">
        <f t="shared" si="0"/>
        <v>NO</v>
      </c>
      <c r="G29" s="8" t="s">
        <v>167</v>
      </c>
      <c r="H29" s="8">
        <f t="shared" si="1"/>
        <v>0</v>
      </c>
      <c r="I29" s="7">
        <f>BLOCK_CATALOG!G29</f>
        <v>0</v>
      </c>
      <c r="J29" s="8" t="str">
        <f t="shared" si="2"/>
        <v>0-v0.zip</v>
      </c>
      <c r="K29" s="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>
        <f>BLOCK_CATALOG!A30</f>
        <v>0</v>
      </c>
      <c r="B30" s="8">
        <f>BLOCK_CATALOG!C30</f>
        <v>0</v>
      </c>
      <c r="C30" s="8">
        <f>BLOCK_CATALOG!D30</f>
        <v>0</v>
      </c>
      <c r="D30" s="8">
        <f>BLOCK_CATALOG!E30</f>
        <v>0</v>
      </c>
      <c r="E30" s="8">
        <f>BLOCK_CATALOG!F30</f>
        <v>0</v>
      </c>
      <c r="F30" s="8" t="str">
        <f t="shared" si="0"/>
        <v>NO</v>
      </c>
      <c r="G30" s="8" t="s">
        <v>167</v>
      </c>
      <c r="H30" s="8">
        <f t="shared" si="1"/>
        <v>0</v>
      </c>
      <c r="I30" s="7">
        <f>BLOCK_CATALOG!G30</f>
        <v>0</v>
      </c>
      <c r="J30" s="8" t="str">
        <f t="shared" si="2"/>
        <v>0-v0.zip</v>
      </c>
      <c r="K30" s="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>
        <f>BLOCK_CATALOG!A31</f>
        <v>0</v>
      </c>
      <c r="B31" s="8">
        <f>BLOCK_CATALOG!C31</f>
        <v>0</v>
      </c>
      <c r="C31" s="8">
        <f>BLOCK_CATALOG!D31</f>
        <v>0</v>
      </c>
      <c r="D31" s="8">
        <f>BLOCK_CATALOG!E31</f>
        <v>0</v>
      </c>
      <c r="E31" s="8">
        <f>BLOCK_CATALOG!F31</f>
        <v>0</v>
      </c>
      <c r="F31" s="8" t="str">
        <f t="shared" si="0"/>
        <v>NO</v>
      </c>
      <c r="G31" s="8" t="s">
        <v>167</v>
      </c>
      <c r="H31" s="8">
        <f t="shared" si="1"/>
        <v>0</v>
      </c>
      <c r="I31" s="7">
        <f>BLOCK_CATALOG!G31</f>
        <v>0</v>
      </c>
      <c r="J31" s="8" t="str">
        <f t="shared" si="2"/>
        <v>0-v0.zip</v>
      </c>
      <c r="K31" s="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>
        <f>BLOCK_CATALOG!A32</f>
        <v>0</v>
      </c>
      <c r="B32" s="8">
        <f>BLOCK_CATALOG!C32</f>
        <v>0</v>
      </c>
      <c r="C32" s="8">
        <f>BLOCK_CATALOG!D32</f>
        <v>0</v>
      </c>
      <c r="D32" s="8">
        <f>BLOCK_CATALOG!E32</f>
        <v>0</v>
      </c>
      <c r="E32" s="8">
        <f>BLOCK_CATALOG!F32</f>
        <v>0</v>
      </c>
      <c r="F32" s="8" t="str">
        <f t="shared" si="0"/>
        <v>NO</v>
      </c>
      <c r="G32" s="8" t="s">
        <v>167</v>
      </c>
      <c r="H32" s="8">
        <f t="shared" si="1"/>
        <v>0</v>
      </c>
      <c r="I32" s="7">
        <f>BLOCK_CATALOG!G32</f>
        <v>0</v>
      </c>
      <c r="J32" s="8" t="str">
        <f t="shared" si="2"/>
        <v>0-v0.zip</v>
      </c>
      <c r="K32" s="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>
        <f>BLOCK_CATALOG!A33</f>
        <v>0</v>
      </c>
      <c r="B33" s="8">
        <f>BLOCK_CATALOG!C33</f>
        <v>0</v>
      </c>
      <c r="C33" s="8">
        <f>BLOCK_CATALOG!D33</f>
        <v>0</v>
      </c>
      <c r="D33" s="8">
        <f>BLOCK_CATALOG!E33</f>
        <v>0</v>
      </c>
      <c r="E33" s="8">
        <f>BLOCK_CATALOG!F33</f>
        <v>0</v>
      </c>
      <c r="F33" s="8" t="str">
        <f t="shared" si="0"/>
        <v>NO</v>
      </c>
      <c r="G33" s="8" t="s">
        <v>167</v>
      </c>
      <c r="H33" s="8">
        <f t="shared" si="1"/>
        <v>0</v>
      </c>
      <c r="I33" s="7">
        <f>BLOCK_CATALOG!G33</f>
        <v>0</v>
      </c>
      <c r="J33" s="8" t="str">
        <f t="shared" si="2"/>
        <v>0-v0.zip</v>
      </c>
      <c r="K33" s="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>
        <f>BLOCK_CATALOG!A34</f>
        <v>0</v>
      </c>
      <c r="B34" s="8">
        <f>BLOCK_CATALOG!C34</f>
        <v>0</v>
      </c>
      <c r="C34" s="8">
        <f>BLOCK_CATALOG!D34</f>
        <v>0</v>
      </c>
      <c r="D34" s="8">
        <f>BLOCK_CATALOG!E34</f>
        <v>0</v>
      </c>
      <c r="E34" s="8">
        <f>BLOCK_CATALOG!F34</f>
        <v>0</v>
      </c>
      <c r="F34" s="8" t="str">
        <f t="shared" si="0"/>
        <v>NO</v>
      </c>
      <c r="G34" s="8" t="s">
        <v>167</v>
      </c>
      <c r="H34" s="8">
        <f t="shared" si="1"/>
        <v>0</v>
      </c>
      <c r="I34" s="7">
        <f>BLOCK_CATALOG!G34</f>
        <v>0</v>
      </c>
      <c r="J34" s="8" t="str">
        <f t="shared" si="2"/>
        <v>0-v0.zip</v>
      </c>
      <c r="K34" s="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>
        <f>BLOCK_CATALOG!A35</f>
        <v>0</v>
      </c>
      <c r="B35" s="8">
        <f>BLOCK_CATALOG!C35</f>
        <v>0</v>
      </c>
      <c r="C35" s="8">
        <f>BLOCK_CATALOG!D35</f>
        <v>0</v>
      </c>
      <c r="D35" s="8">
        <f>BLOCK_CATALOG!E35</f>
        <v>0</v>
      </c>
      <c r="E35" s="8">
        <f>BLOCK_CATALOG!F35</f>
        <v>0</v>
      </c>
      <c r="F35" s="8" t="str">
        <f t="shared" si="0"/>
        <v>NO</v>
      </c>
      <c r="G35" s="8" t="s">
        <v>167</v>
      </c>
      <c r="H35" s="8">
        <f t="shared" si="1"/>
        <v>0</v>
      </c>
      <c r="I35" s="7">
        <f>BLOCK_CATALOG!G35</f>
        <v>0</v>
      </c>
      <c r="J35" s="8" t="str">
        <f t="shared" si="2"/>
        <v>0-v0.zip</v>
      </c>
      <c r="K35" s="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>
        <f>BLOCK_CATALOG!A36</f>
        <v>0</v>
      </c>
      <c r="B36" s="8">
        <f>BLOCK_CATALOG!C36</f>
        <v>0</v>
      </c>
      <c r="C36" s="8">
        <f>BLOCK_CATALOG!D36</f>
        <v>0</v>
      </c>
      <c r="D36" s="8">
        <f>BLOCK_CATALOG!E36</f>
        <v>0</v>
      </c>
      <c r="E36" s="8">
        <f>BLOCK_CATALOG!F36</f>
        <v>0</v>
      </c>
      <c r="F36" s="8" t="str">
        <f t="shared" si="0"/>
        <v>NO</v>
      </c>
      <c r="G36" s="8" t="s">
        <v>167</v>
      </c>
      <c r="H36" s="8">
        <f t="shared" si="1"/>
        <v>0</v>
      </c>
      <c r="I36" s="7">
        <f>BLOCK_CATALOG!G36</f>
        <v>0</v>
      </c>
      <c r="J36" s="8" t="str">
        <f t="shared" si="2"/>
        <v>0-v0.zip</v>
      </c>
      <c r="K36" s="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8">
        <f>BLOCK_CATALOG!A37</f>
        <v>0</v>
      </c>
      <c r="B37" s="8">
        <f>BLOCK_CATALOG!C37</f>
        <v>0</v>
      </c>
      <c r="C37" s="8">
        <f>BLOCK_CATALOG!D37</f>
        <v>0</v>
      </c>
      <c r="D37" s="8">
        <f>BLOCK_CATALOG!E37</f>
        <v>0</v>
      </c>
      <c r="E37" s="8">
        <f>BLOCK_CATALOG!F37</f>
        <v>0</v>
      </c>
      <c r="F37" s="8" t="str">
        <f t="shared" ref="F37:F68" si="3">IF(A37="","",IF(D37&lt;&gt;E37,"YES","NO"))</f>
        <v>NO</v>
      </c>
      <c r="G37" s="8" t="s">
        <v>167</v>
      </c>
      <c r="H37" s="8">
        <f t="shared" ref="H37:H68" si="4">IF(A37="","",E37)</f>
        <v>0</v>
      </c>
      <c r="I37" s="7">
        <f>BLOCK_CATALOG!G37</f>
        <v>0</v>
      </c>
      <c r="J37" s="8" t="str">
        <f t="shared" ref="J37:J68" si="5">IF(A37="","",A37&amp;"-v"&amp;H37&amp;".zip")</f>
        <v>0-v0.zip</v>
      </c>
      <c r="K37" s="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>
        <f>BLOCK_CATALOG!A38</f>
        <v>0</v>
      </c>
      <c r="B38" s="8">
        <f>BLOCK_CATALOG!C38</f>
        <v>0</v>
      </c>
      <c r="C38" s="8">
        <f>BLOCK_CATALOG!D38</f>
        <v>0</v>
      </c>
      <c r="D38" s="8">
        <f>BLOCK_CATALOG!E38</f>
        <v>0</v>
      </c>
      <c r="E38" s="8">
        <f>BLOCK_CATALOG!F38</f>
        <v>0</v>
      </c>
      <c r="F38" s="8" t="str">
        <f t="shared" si="3"/>
        <v>NO</v>
      </c>
      <c r="G38" s="8" t="s">
        <v>167</v>
      </c>
      <c r="H38" s="8">
        <f t="shared" si="4"/>
        <v>0</v>
      </c>
      <c r="I38" s="7">
        <f>BLOCK_CATALOG!G38</f>
        <v>0</v>
      </c>
      <c r="J38" s="8" t="str">
        <f t="shared" si="5"/>
        <v>0-v0.zip</v>
      </c>
      <c r="K38" s="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>
        <f>BLOCK_CATALOG!A39</f>
        <v>0</v>
      </c>
      <c r="B39" s="8">
        <f>BLOCK_CATALOG!C39</f>
        <v>0</v>
      </c>
      <c r="C39" s="8">
        <f>BLOCK_CATALOG!D39</f>
        <v>0</v>
      </c>
      <c r="D39" s="8">
        <f>BLOCK_CATALOG!E39</f>
        <v>0</v>
      </c>
      <c r="E39" s="8">
        <f>BLOCK_CATALOG!F39</f>
        <v>0</v>
      </c>
      <c r="F39" s="8" t="str">
        <f t="shared" si="3"/>
        <v>NO</v>
      </c>
      <c r="G39" s="8" t="s">
        <v>167</v>
      </c>
      <c r="H39" s="8">
        <f t="shared" si="4"/>
        <v>0</v>
      </c>
      <c r="I39" s="7">
        <f>BLOCK_CATALOG!G39</f>
        <v>0</v>
      </c>
      <c r="J39" s="8" t="str">
        <f t="shared" si="5"/>
        <v>0-v0.zip</v>
      </c>
      <c r="K39" s="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>
        <f>BLOCK_CATALOG!A40</f>
        <v>0</v>
      </c>
      <c r="B40" s="8">
        <f>BLOCK_CATALOG!C40</f>
        <v>0</v>
      </c>
      <c r="C40" s="8">
        <f>BLOCK_CATALOG!D40</f>
        <v>0</v>
      </c>
      <c r="D40" s="8">
        <f>BLOCK_CATALOG!E40</f>
        <v>0</v>
      </c>
      <c r="E40" s="8">
        <f>BLOCK_CATALOG!F40</f>
        <v>0</v>
      </c>
      <c r="F40" s="8" t="str">
        <f t="shared" si="3"/>
        <v>NO</v>
      </c>
      <c r="G40" s="8" t="s">
        <v>167</v>
      </c>
      <c r="H40" s="8">
        <f t="shared" si="4"/>
        <v>0</v>
      </c>
      <c r="I40" s="7">
        <f>BLOCK_CATALOG!G40</f>
        <v>0</v>
      </c>
      <c r="J40" s="8" t="str">
        <f t="shared" si="5"/>
        <v>0-v0.zip</v>
      </c>
      <c r="K40" s="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>
        <f>BLOCK_CATALOG!A41</f>
        <v>0</v>
      </c>
      <c r="B41" s="8">
        <f>BLOCK_CATALOG!C41</f>
        <v>0</v>
      </c>
      <c r="C41" s="8">
        <f>BLOCK_CATALOG!D41</f>
        <v>0</v>
      </c>
      <c r="D41" s="8">
        <f>BLOCK_CATALOG!E41</f>
        <v>0</v>
      </c>
      <c r="E41" s="8">
        <f>BLOCK_CATALOG!F41</f>
        <v>0</v>
      </c>
      <c r="F41" s="8" t="str">
        <f t="shared" si="3"/>
        <v>NO</v>
      </c>
      <c r="G41" s="8" t="s">
        <v>167</v>
      </c>
      <c r="H41" s="8">
        <f t="shared" si="4"/>
        <v>0</v>
      </c>
      <c r="I41" s="7">
        <f>BLOCK_CATALOG!G41</f>
        <v>0</v>
      </c>
      <c r="J41" s="8" t="str">
        <f t="shared" si="5"/>
        <v>0-v0.zip</v>
      </c>
      <c r="K41" s="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>
        <f>BLOCK_CATALOG!A42</f>
        <v>0</v>
      </c>
      <c r="B42" s="8">
        <f>BLOCK_CATALOG!C42</f>
        <v>0</v>
      </c>
      <c r="C42" s="8">
        <f>BLOCK_CATALOG!D42</f>
        <v>0</v>
      </c>
      <c r="D42" s="8">
        <f>BLOCK_CATALOG!E42</f>
        <v>0</v>
      </c>
      <c r="E42" s="8">
        <f>BLOCK_CATALOG!F42</f>
        <v>0</v>
      </c>
      <c r="F42" s="8" t="str">
        <f t="shared" si="3"/>
        <v>NO</v>
      </c>
      <c r="G42" s="8" t="s">
        <v>167</v>
      </c>
      <c r="H42" s="8">
        <f t="shared" si="4"/>
        <v>0</v>
      </c>
      <c r="I42" s="7">
        <f>BLOCK_CATALOG!G42</f>
        <v>0</v>
      </c>
      <c r="J42" s="8" t="str">
        <f t="shared" si="5"/>
        <v>0-v0.zip</v>
      </c>
      <c r="K42" s="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>
        <f>BLOCK_CATALOG!A43</f>
        <v>0</v>
      </c>
      <c r="B43" s="8">
        <f>BLOCK_CATALOG!C43</f>
        <v>0</v>
      </c>
      <c r="C43" s="8">
        <f>BLOCK_CATALOG!D43</f>
        <v>0</v>
      </c>
      <c r="D43" s="8">
        <f>BLOCK_CATALOG!E43</f>
        <v>0</v>
      </c>
      <c r="E43" s="8">
        <f>BLOCK_CATALOG!F43</f>
        <v>0</v>
      </c>
      <c r="F43" s="8" t="str">
        <f t="shared" si="3"/>
        <v>NO</v>
      </c>
      <c r="G43" s="8" t="s">
        <v>167</v>
      </c>
      <c r="H43" s="8">
        <f t="shared" si="4"/>
        <v>0</v>
      </c>
      <c r="I43" s="7">
        <f>BLOCK_CATALOG!G43</f>
        <v>0</v>
      </c>
      <c r="J43" s="8" t="str">
        <f t="shared" si="5"/>
        <v>0-v0.zip</v>
      </c>
      <c r="K43" s="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>
        <f>BLOCK_CATALOG!A44</f>
        <v>0</v>
      </c>
      <c r="B44" s="8">
        <f>BLOCK_CATALOG!C44</f>
        <v>0</v>
      </c>
      <c r="C44" s="8">
        <f>BLOCK_CATALOG!D44</f>
        <v>0</v>
      </c>
      <c r="D44" s="8">
        <f>BLOCK_CATALOG!E44</f>
        <v>0</v>
      </c>
      <c r="E44" s="8">
        <f>BLOCK_CATALOG!F44</f>
        <v>0</v>
      </c>
      <c r="F44" s="8" t="str">
        <f t="shared" si="3"/>
        <v>NO</v>
      </c>
      <c r="G44" s="8" t="s">
        <v>167</v>
      </c>
      <c r="H44" s="8">
        <f t="shared" si="4"/>
        <v>0</v>
      </c>
      <c r="I44" s="7">
        <f>BLOCK_CATALOG!G44</f>
        <v>0</v>
      </c>
      <c r="J44" s="8" t="str">
        <f t="shared" si="5"/>
        <v>0-v0.zip</v>
      </c>
      <c r="K44" s="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>
        <f>BLOCK_CATALOG!A45</f>
        <v>0</v>
      </c>
      <c r="B45" s="8">
        <f>BLOCK_CATALOG!C45</f>
        <v>0</v>
      </c>
      <c r="C45" s="8">
        <f>BLOCK_CATALOG!D45</f>
        <v>0</v>
      </c>
      <c r="D45" s="8">
        <f>BLOCK_CATALOG!E45</f>
        <v>0</v>
      </c>
      <c r="E45" s="8">
        <f>BLOCK_CATALOG!F45</f>
        <v>0</v>
      </c>
      <c r="F45" s="8" t="str">
        <f t="shared" si="3"/>
        <v>NO</v>
      </c>
      <c r="G45" s="8" t="s">
        <v>167</v>
      </c>
      <c r="H45" s="8">
        <f t="shared" si="4"/>
        <v>0</v>
      </c>
      <c r="I45" s="7">
        <f>BLOCK_CATALOG!G45</f>
        <v>0</v>
      </c>
      <c r="J45" s="8" t="str">
        <f t="shared" si="5"/>
        <v>0-v0.zip</v>
      </c>
      <c r="K45" s="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>
        <f>BLOCK_CATALOG!A46</f>
        <v>0</v>
      </c>
      <c r="B46" s="8">
        <f>BLOCK_CATALOG!C46</f>
        <v>0</v>
      </c>
      <c r="C46" s="8">
        <f>BLOCK_CATALOG!D46</f>
        <v>0</v>
      </c>
      <c r="D46" s="8">
        <f>BLOCK_CATALOG!E46</f>
        <v>0</v>
      </c>
      <c r="E46" s="8">
        <f>BLOCK_CATALOG!F46</f>
        <v>0</v>
      </c>
      <c r="F46" s="8" t="str">
        <f t="shared" si="3"/>
        <v>NO</v>
      </c>
      <c r="G46" s="8" t="s">
        <v>167</v>
      </c>
      <c r="H46" s="8">
        <f t="shared" si="4"/>
        <v>0</v>
      </c>
      <c r="I46" s="7">
        <f>BLOCK_CATALOG!G46</f>
        <v>0</v>
      </c>
      <c r="J46" s="8" t="str">
        <f t="shared" si="5"/>
        <v>0-v0.zip</v>
      </c>
      <c r="K46" s="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>
        <f>BLOCK_CATALOG!A47</f>
        <v>0</v>
      </c>
      <c r="B47" s="8">
        <f>BLOCK_CATALOG!C47</f>
        <v>0</v>
      </c>
      <c r="C47" s="8">
        <f>BLOCK_CATALOG!D47</f>
        <v>0</v>
      </c>
      <c r="D47" s="8">
        <f>BLOCK_CATALOG!E47</f>
        <v>0</v>
      </c>
      <c r="E47" s="8">
        <f>BLOCK_CATALOG!F47</f>
        <v>0</v>
      </c>
      <c r="F47" s="8" t="str">
        <f t="shared" si="3"/>
        <v>NO</v>
      </c>
      <c r="G47" s="8" t="s">
        <v>167</v>
      </c>
      <c r="H47" s="8">
        <f t="shared" si="4"/>
        <v>0</v>
      </c>
      <c r="I47" s="7">
        <f>BLOCK_CATALOG!G47</f>
        <v>0</v>
      </c>
      <c r="J47" s="8" t="str">
        <f t="shared" si="5"/>
        <v>0-v0.zip</v>
      </c>
      <c r="K47" s="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>
        <f>BLOCK_CATALOG!A48</f>
        <v>0</v>
      </c>
      <c r="B48" s="8">
        <f>BLOCK_CATALOG!C48</f>
        <v>0</v>
      </c>
      <c r="C48" s="8">
        <f>BLOCK_CATALOG!D48</f>
        <v>0</v>
      </c>
      <c r="D48" s="8">
        <f>BLOCK_CATALOG!E48</f>
        <v>0</v>
      </c>
      <c r="E48" s="8">
        <f>BLOCK_CATALOG!F48</f>
        <v>0</v>
      </c>
      <c r="F48" s="8" t="str">
        <f t="shared" si="3"/>
        <v>NO</v>
      </c>
      <c r="G48" s="8" t="s">
        <v>167</v>
      </c>
      <c r="H48" s="8">
        <f t="shared" si="4"/>
        <v>0</v>
      </c>
      <c r="I48" s="7">
        <f>BLOCK_CATALOG!G48</f>
        <v>0</v>
      </c>
      <c r="J48" s="8" t="str">
        <f t="shared" si="5"/>
        <v>0-v0.zip</v>
      </c>
      <c r="K48" s="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>
        <f>BLOCK_CATALOG!A49</f>
        <v>0</v>
      </c>
      <c r="B49" s="8">
        <f>BLOCK_CATALOG!C49</f>
        <v>0</v>
      </c>
      <c r="C49" s="8">
        <f>BLOCK_CATALOG!D49</f>
        <v>0</v>
      </c>
      <c r="D49" s="8">
        <f>BLOCK_CATALOG!E49</f>
        <v>0</v>
      </c>
      <c r="E49" s="8">
        <f>BLOCK_CATALOG!F49</f>
        <v>0</v>
      </c>
      <c r="F49" s="8" t="str">
        <f t="shared" si="3"/>
        <v>NO</v>
      </c>
      <c r="G49" s="8" t="s">
        <v>167</v>
      </c>
      <c r="H49" s="8">
        <f t="shared" si="4"/>
        <v>0</v>
      </c>
      <c r="I49" s="7">
        <f>BLOCK_CATALOG!G49</f>
        <v>0</v>
      </c>
      <c r="J49" s="8" t="str">
        <f t="shared" si="5"/>
        <v>0-v0.zip</v>
      </c>
      <c r="K49" s="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>
        <f>BLOCK_CATALOG!A50</f>
        <v>0</v>
      </c>
      <c r="B50" s="8">
        <f>BLOCK_CATALOG!C50</f>
        <v>0</v>
      </c>
      <c r="C50" s="8">
        <f>BLOCK_CATALOG!D50</f>
        <v>0</v>
      </c>
      <c r="D50" s="8">
        <f>BLOCK_CATALOG!E50</f>
        <v>0</v>
      </c>
      <c r="E50" s="8">
        <f>BLOCK_CATALOG!F50</f>
        <v>0</v>
      </c>
      <c r="F50" s="8" t="str">
        <f t="shared" si="3"/>
        <v>NO</v>
      </c>
      <c r="G50" s="8" t="s">
        <v>167</v>
      </c>
      <c r="H50" s="8">
        <f t="shared" si="4"/>
        <v>0</v>
      </c>
      <c r="I50" s="7">
        <f>BLOCK_CATALOG!G50</f>
        <v>0</v>
      </c>
      <c r="J50" s="8" t="str">
        <f t="shared" si="5"/>
        <v>0-v0.zip</v>
      </c>
      <c r="K50" s="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>
        <f>BLOCK_CATALOG!A51</f>
        <v>0</v>
      </c>
      <c r="B51" s="8">
        <f>BLOCK_CATALOG!C51</f>
        <v>0</v>
      </c>
      <c r="C51" s="8">
        <f>BLOCK_CATALOG!D51</f>
        <v>0</v>
      </c>
      <c r="D51" s="8">
        <f>BLOCK_CATALOG!E51</f>
        <v>0</v>
      </c>
      <c r="E51" s="8">
        <f>BLOCK_CATALOG!F51</f>
        <v>0</v>
      </c>
      <c r="F51" s="8" t="str">
        <f t="shared" si="3"/>
        <v>NO</v>
      </c>
      <c r="G51" s="8" t="s">
        <v>167</v>
      </c>
      <c r="H51" s="8">
        <f t="shared" si="4"/>
        <v>0</v>
      </c>
      <c r="I51" s="7">
        <f>BLOCK_CATALOG!G51</f>
        <v>0</v>
      </c>
      <c r="J51" s="8" t="str">
        <f t="shared" si="5"/>
        <v>0-v0.zip</v>
      </c>
      <c r="K51" s="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>
        <f>BLOCK_CATALOG!A52</f>
        <v>0</v>
      </c>
      <c r="B52" s="8">
        <f>BLOCK_CATALOG!C52</f>
        <v>0</v>
      </c>
      <c r="C52" s="8">
        <f>BLOCK_CATALOG!D52</f>
        <v>0</v>
      </c>
      <c r="D52" s="8">
        <f>BLOCK_CATALOG!E52</f>
        <v>0</v>
      </c>
      <c r="E52" s="8">
        <f>BLOCK_CATALOG!F52</f>
        <v>0</v>
      </c>
      <c r="F52" s="8" t="str">
        <f t="shared" si="3"/>
        <v>NO</v>
      </c>
      <c r="G52" s="8" t="s">
        <v>167</v>
      </c>
      <c r="H52" s="8">
        <f t="shared" si="4"/>
        <v>0</v>
      </c>
      <c r="I52" s="7">
        <f>BLOCK_CATALOG!G52</f>
        <v>0</v>
      </c>
      <c r="J52" s="8" t="str">
        <f t="shared" si="5"/>
        <v>0-v0.zip</v>
      </c>
      <c r="K52" s="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>
        <f>BLOCK_CATALOG!A53</f>
        <v>0</v>
      </c>
      <c r="B53" s="8">
        <f>BLOCK_CATALOG!C53</f>
        <v>0</v>
      </c>
      <c r="C53" s="8">
        <f>BLOCK_CATALOG!D53</f>
        <v>0</v>
      </c>
      <c r="D53" s="8">
        <f>BLOCK_CATALOG!E53</f>
        <v>0</v>
      </c>
      <c r="E53" s="8">
        <f>BLOCK_CATALOG!F53</f>
        <v>0</v>
      </c>
      <c r="F53" s="8" t="str">
        <f t="shared" si="3"/>
        <v>NO</v>
      </c>
      <c r="G53" s="8" t="s">
        <v>167</v>
      </c>
      <c r="H53" s="8">
        <f t="shared" si="4"/>
        <v>0</v>
      </c>
      <c r="I53" s="7">
        <f>BLOCK_CATALOG!G53</f>
        <v>0</v>
      </c>
      <c r="J53" s="8" t="str">
        <f t="shared" si="5"/>
        <v>0-v0.zip</v>
      </c>
      <c r="K53" s="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>
        <f>BLOCK_CATALOG!A54</f>
        <v>0</v>
      </c>
      <c r="B54" s="8">
        <f>BLOCK_CATALOG!C54</f>
        <v>0</v>
      </c>
      <c r="C54" s="8">
        <f>BLOCK_CATALOG!D54</f>
        <v>0</v>
      </c>
      <c r="D54" s="8">
        <f>BLOCK_CATALOG!E54</f>
        <v>0</v>
      </c>
      <c r="E54" s="8">
        <f>BLOCK_CATALOG!F54</f>
        <v>0</v>
      </c>
      <c r="F54" s="8" t="str">
        <f t="shared" si="3"/>
        <v>NO</v>
      </c>
      <c r="G54" s="8" t="s">
        <v>167</v>
      </c>
      <c r="H54" s="8">
        <f t="shared" si="4"/>
        <v>0</v>
      </c>
      <c r="I54" s="7">
        <f>BLOCK_CATALOG!G54</f>
        <v>0</v>
      </c>
      <c r="J54" s="8" t="str">
        <f t="shared" si="5"/>
        <v>0-v0.zip</v>
      </c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>
        <f>BLOCK_CATALOG!A55</f>
        <v>0</v>
      </c>
      <c r="B55" s="8">
        <f>BLOCK_CATALOG!C55</f>
        <v>0</v>
      </c>
      <c r="C55" s="8">
        <f>BLOCK_CATALOG!D55</f>
        <v>0</v>
      </c>
      <c r="D55" s="8">
        <f>BLOCK_CATALOG!E55</f>
        <v>0</v>
      </c>
      <c r="E55" s="8">
        <f>BLOCK_CATALOG!F55</f>
        <v>0</v>
      </c>
      <c r="F55" s="8" t="str">
        <f t="shared" si="3"/>
        <v>NO</v>
      </c>
      <c r="G55" s="8" t="s">
        <v>167</v>
      </c>
      <c r="H55" s="8">
        <f t="shared" si="4"/>
        <v>0</v>
      </c>
      <c r="I55" s="7">
        <f>BLOCK_CATALOG!G55</f>
        <v>0</v>
      </c>
      <c r="J55" s="8" t="str">
        <f t="shared" si="5"/>
        <v>0-v0.zip</v>
      </c>
      <c r="K55" s="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>
        <f>BLOCK_CATALOG!A56</f>
        <v>0</v>
      </c>
      <c r="B56" s="8">
        <f>BLOCK_CATALOG!C56</f>
        <v>0</v>
      </c>
      <c r="C56" s="8">
        <f>BLOCK_CATALOG!D56</f>
        <v>0</v>
      </c>
      <c r="D56" s="8">
        <f>BLOCK_CATALOG!E56</f>
        <v>0</v>
      </c>
      <c r="E56" s="8">
        <f>BLOCK_CATALOG!F56</f>
        <v>0</v>
      </c>
      <c r="F56" s="8" t="str">
        <f t="shared" si="3"/>
        <v>NO</v>
      </c>
      <c r="G56" s="8" t="s">
        <v>167</v>
      </c>
      <c r="H56" s="8">
        <f t="shared" si="4"/>
        <v>0</v>
      </c>
      <c r="I56" s="7">
        <f>BLOCK_CATALOG!G56</f>
        <v>0</v>
      </c>
      <c r="J56" s="8" t="str">
        <f t="shared" si="5"/>
        <v>0-v0.zip</v>
      </c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>
        <f>BLOCK_CATALOG!A57</f>
        <v>0</v>
      </c>
      <c r="B57" s="8">
        <f>BLOCK_CATALOG!C57</f>
        <v>0</v>
      </c>
      <c r="C57" s="8">
        <f>BLOCK_CATALOG!D57</f>
        <v>0</v>
      </c>
      <c r="D57" s="8">
        <f>BLOCK_CATALOG!E57</f>
        <v>0</v>
      </c>
      <c r="E57" s="8">
        <f>BLOCK_CATALOG!F57</f>
        <v>0</v>
      </c>
      <c r="F57" s="8" t="str">
        <f t="shared" si="3"/>
        <v>NO</v>
      </c>
      <c r="G57" s="8" t="s">
        <v>167</v>
      </c>
      <c r="H57" s="8">
        <f t="shared" si="4"/>
        <v>0</v>
      </c>
      <c r="I57" s="7">
        <f>BLOCK_CATALOG!G57</f>
        <v>0</v>
      </c>
      <c r="J57" s="8" t="str">
        <f t="shared" si="5"/>
        <v>0-v0.zip</v>
      </c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>
        <f>BLOCK_CATALOG!A58</f>
        <v>0</v>
      </c>
      <c r="B58" s="8">
        <f>BLOCK_CATALOG!C58</f>
        <v>0</v>
      </c>
      <c r="C58" s="8">
        <f>BLOCK_CATALOG!D58</f>
        <v>0</v>
      </c>
      <c r="D58" s="8">
        <f>BLOCK_CATALOG!E58</f>
        <v>0</v>
      </c>
      <c r="E58" s="8">
        <f>BLOCK_CATALOG!F58</f>
        <v>0</v>
      </c>
      <c r="F58" s="8" t="str">
        <f t="shared" si="3"/>
        <v>NO</v>
      </c>
      <c r="G58" s="8" t="s">
        <v>167</v>
      </c>
      <c r="H58" s="8">
        <f t="shared" si="4"/>
        <v>0</v>
      </c>
      <c r="I58" s="7">
        <f>BLOCK_CATALOG!G58</f>
        <v>0</v>
      </c>
      <c r="J58" s="8" t="str">
        <f t="shared" si="5"/>
        <v>0-v0.zip</v>
      </c>
      <c r="K58" s="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8">
        <f>BLOCK_CATALOG!A59</f>
        <v>0</v>
      </c>
      <c r="B59" s="8">
        <f>BLOCK_CATALOG!C59</f>
        <v>0</v>
      </c>
      <c r="C59" s="8">
        <f>BLOCK_CATALOG!D59</f>
        <v>0</v>
      </c>
      <c r="D59" s="8">
        <f>BLOCK_CATALOG!E59</f>
        <v>0</v>
      </c>
      <c r="E59" s="8">
        <f>BLOCK_CATALOG!F59</f>
        <v>0</v>
      </c>
      <c r="F59" s="8" t="str">
        <f t="shared" si="3"/>
        <v>NO</v>
      </c>
      <c r="G59" s="8" t="s">
        <v>167</v>
      </c>
      <c r="H59" s="8">
        <f t="shared" si="4"/>
        <v>0</v>
      </c>
      <c r="I59" s="7">
        <f>BLOCK_CATALOG!G59</f>
        <v>0</v>
      </c>
      <c r="J59" s="8" t="str">
        <f t="shared" si="5"/>
        <v>0-v0.zip</v>
      </c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8">
        <f>BLOCK_CATALOG!A60</f>
        <v>0</v>
      </c>
      <c r="B60" s="8">
        <f>BLOCK_CATALOG!C60</f>
        <v>0</v>
      </c>
      <c r="C60" s="8">
        <f>BLOCK_CATALOG!D60</f>
        <v>0</v>
      </c>
      <c r="D60" s="8">
        <f>BLOCK_CATALOG!E60</f>
        <v>0</v>
      </c>
      <c r="E60" s="8">
        <f>BLOCK_CATALOG!F60</f>
        <v>0</v>
      </c>
      <c r="F60" s="8" t="str">
        <f t="shared" si="3"/>
        <v>NO</v>
      </c>
      <c r="G60" s="8" t="s">
        <v>167</v>
      </c>
      <c r="H60" s="8">
        <f t="shared" si="4"/>
        <v>0</v>
      </c>
      <c r="I60" s="7">
        <f>BLOCK_CATALOG!G60</f>
        <v>0</v>
      </c>
      <c r="J60" s="8" t="str">
        <f t="shared" si="5"/>
        <v>0-v0.zip</v>
      </c>
      <c r="K60" s="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8">
        <f>BLOCK_CATALOG!A61</f>
        <v>0</v>
      </c>
      <c r="B61" s="8">
        <f>BLOCK_CATALOG!C61</f>
        <v>0</v>
      </c>
      <c r="C61" s="8">
        <f>BLOCK_CATALOG!D61</f>
        <v>0</v>
      </c>
      <c r="D61" s="8">
        <f>BLOCK_CATALOG!E61</f>
        <v>0</v>
      </c>
      <c r="E61" s="8">
        <f>BLOCK_CATALOG!F61</f>
        <v>0</v>
      </c>
      <c r="F61" s="8" t="str">
        <f t="shared" si="3"/>
        <v>NO</v>
      </c>
      <c r="G61" s="8" t="s">
        <v>167</v>
      </c>
      <c r="H61" s="8">
        <f t="shared" si="4"/>
        <v>0</v>
      </c>
      <c r="I61" s="7">
        <f>BLOCK_CATALOG!G61</f>
        <v>0</v>
      </c>
      <c r="J61" s="8" t="str">
        <f t="shared" si="5"/>
        <v>0-v0.zip</v>
      </c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8">
        <f>BLOCK_CATALOG!A62</f>
        <v>0</v>
      </c>
      <c r="B62" s="8">
        <f>BLOCK_CATALOG!C62</f>
        <v>0</v>
      </c>
      <c r="C62" s="8">
        <f>BLOCK_CATALOG!D62</f>
        <v>0</v>
      </c>
      <c r="D62" s="8">
        <f>BLOCK_CATALOG!E62</f>
        <v>0</v>
      </c>
      <c r="E62" s="8">
        <f>BLOCK_CATALOG!F62</f>
        <v>0</v>
      </c>
      <c r="F62" s="8" t="str">
        <f t="shared" si="3"/>
        <v>NO</v>
      </c>
      <c r="G62" s="8" t="s">
        <v>167</v>
      </c>
      <c r="H62" s="8">
        <f t="shared" si="4"/>
        <v>0</v>
      </c>
      <c r="I62" s="7">
        <f>BLOCK_CATALOG!G62</f>
        <v>0</v>
      </c>
      <c r="J62" s="8" t="str">
        <f t="shared" si="5"/>
        <v>0-v0.zip</v>
      </c>
      <c r="K62" s="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8">
        <f>BLOCK_CATALOG!A63</f>
        <v>0</v>
      </c>
      <c r="B63" s="8">
        <f>BLOCK_CATALOG!C63</f>
        <v>0</v>
      </c>
      <c r="C63" s="8">
        <f>BLOCK_CATALOG!D63</f>
        <v>0</v>
      </c>
      <c r="D63" s="8">
        <f>BLOCK_CATALOG!E63</f>
        <v>0</v>
      </c>
      <c r="E63" s="8">
        <f>BLOCK_CATALOG!F63</f>
        <v>0</v>
      </c>
      <c r="F63" s="8" t="str">
        <f t="shared" si="3"/>
        <v>NO</v>
      </c>
      <c r="G63" s="8" t="s">
        <v>167</v>
      </c>
      <c r="H63" s="8">
        <f t="shared" si="4"/>
        <v>0</v>
      </c>
      <c r="I63" s="7">
        <f>BLOCK_CATALOG!G63</f>
        <v>0</v>
      </c>
      <c r="J63" s="8" t="str">
        <f t="shared" si="5"/>
        <v>0-v0.zip</v>
      </c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>
        <f>BLOCK_CATALOG!A64</f>
        <v>0</v>
      </c>
      <c r="B64" s="8">
        <f>BLOCK_CATALOG!C64</f>
        <v>0</v>
      </c>
      <c r="C64" s="8">
        <f>BLOCK_CATALOG!D64</f>
        <v>0</v>
      </c>
      <c r="D64" s="8">
        <f>BLOCK_CATALOG!E64</f>
        <v>0</v>
      </c>
      <c r="E64" s="8">
        <f>BLOCK_CATALOG!F64</f>
        <v>0</v>
      </c>
      <c r="F64" s="8" t="str">
        <f t="shared" si="3"/>
        <v>NO</v>
      </c>
      <c r="G64" s="8" t="s">
        <v>167</v>
      </c>
      <c r="H64" s="8">
        <f t="shared" si="4"/>
        <v>0</v>
      </c>
      <c r="I64" s="7">
        <f>BLOCK_CATALOG!G64</f>
        <v>0</v>
      </c>
      <c r="J64" s="8" t="str">
        <f t="shared" si="5"/>
        <v>0-v0.zip</v>
      </c>
      <c r="K64" s="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>
        <f>BLOCK_CATALOG!A65</f>
        <v>0</v>
      </c>
      <c r="B65" s="8">
        <f>BLOCK_CATALOG!C65</f>
        <v>0</v>
      </c>
      <c r="C65" s="8">
        <f>BLOCK_CATALOG!D65</f>
        <v>0</v>
      </c>
      <c r="D65" s="8">
        <f>BLOCK_CATALOG!E65</f>
        <v>0</v>
      </c>
      <c r="E65" s="8">
        <f>BLOCK_CATALOG!F65</f>
        <v>0</v>
      </c>
      <c r="F65" s="8" t="str">
        <f t="shared" si="3"/>
        <v>NO</v>
      </c>
      <c r="G65" s="8" t="s">
        <v>167</v>
      </c>
      <c r="H65" s="8">
        <f t="shared" si="4"/>
        <v>0</v>
      </c>
      <c r="I65" s="7">
        <f>BLOCK_CATALOG!G65</f>
        <v>0</v>
      </c>
      <c r="J65" s="8" t="str">
        <f t="shared" si="5"/>
        <v>0-v0.zip</v>
      </c>
      <c r="K65" s="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>
        <f>BLOCK_CATALOG!A66</f>
        <v>0</v>
      </c>
      <c r="B66" s="8">
        <f>BLOCK_CATALOG!C66</f>
        <v>0</v>
      </c>
      <c r="C66" s="8">
        <f>BLOCK_CATALOG!D66</f>
        <v>0</v>
      </c>
      <c r="D66" s="8">
        <f>BLOCK_CATALOG!E66</f>
        <v>0</v>
      </c>
      <c r="E66" s="8">
        <f>BLOCK_CATALOG!F66</f>
        <v>0</v>
      </c>
      <c r="F66" s="8" t="str">
        <f t="shared" si="3"/>
        <v>NO</v>
      </c>
      <c r="G66" s="8" t="s">
        <v>167</v>
      </c>
      <c r="H66" s="8">
        <f t="shared" si="4"/>
        <v>0</v>
      </c>
      <c r="I66" s="7">
        <f>BLOCK_CATALOG!G66</f>
        <v>0</v>
      </c>
      <c r="J66" s="8" t="str">
        <f t="shared" si="5"/>
        <v>0-v0.zip</v>
      </c>
      <c r="K66" s="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>
        <f>BLOCK_CATALOG!A67</f>
        <v>0</v>
      </c>
      <c r="B67" s="8">
        <f>BLOCK_CATALOG!C67</f>
        <v>0</v>
      </c>
      <c r="C67" s="8">
        <f>BLOCK_CATALOG!D67</f>
        <v>0</v>
      </c>
      <c r="D67" s="8">
        <f>BLOCK_CATALOG!E67</f>
        <v>0</v>
      </c>
      <c r="E67" s="8">
        <f>BLOCK_CATALOG!F67</f>
        <v>0</v>
      </c>
      <c r="F67" s="8" t="str">
        <f t="shared" si="3"/>
        <v>NO</v>
      </c>
      <c r="G67" s="8" t="s">
        <v>167</v>
      </c>
      <c r="H67" s="8">
        <f t="shared" si="4"/>
        <v>0</v>
      </c>
      <c r="I67" s="7">
        <f>BLOCK_CATALOG!G67</f>
        <v>0</v>
      </c>
      <c r="J67" s="8" t="str">
        <f t="shared" si="5"/>
        <v>0-v0.zip</v>
      </c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>
        <f>BLOCK_CATALOG!A68</f>
        <v>0</v>
      </c>
      <c r="B68" s="8">
        <f>BLOCK_CATALOG!C68</f>
        <v>0</v>
      </c>
      <c r="C68" s="8">
        <f>BLOCK_CATALOG!D68</f>
        <v>0</v>
      </c>
      <c r="D68" s="8">
        <f>BLOCK_CATALOG!E68</f>
        <v>0</v>
      </c>
      <c r="E68" s="8">
        <f>BLOCK_CATALOG!F68</f>
        <v>0</v>
      </c>
      <c r="F68" s="8" t="str">
        <f t="shared" si="3"/>
        <v>NO</v>
      </c>
      <c r="G68" s="8" t="s">
        <v>167</v>
      </c>
      <c r="H68" s="8">
        <f t="shared" si="4"/>
        <v>0</v>
      </c>
      <c r="I68" s="7">
        <f>BLOCK_CATALOG!G68</f>
        <v>0</v>
      </c>
      <c r="J68" s="8" t="str">
        <f t="shared" si="5"/>
        <v>0-v0.zip</v>
      </c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>
        <f>BLOCK_CATALOG!A69</f>
        <v>0</v>
      </c>
      <c r="B69" s="8">
        <f>BLOCK_CATALOG!C69</f>
        <v>0</v>
      </c>
      <c r="C69" s="8">
        <f>BLOCK_CATALOG!D69</f>
        <v>0</v>
      </c>
      <c r="D69" s="8">
        <f>BLOCK_CATALOG!E69</f>
        <v>0</v>
      </c>
      <c r="E69" s="8">
        <f>BLOCK_CATALOG!F69</f>
        <v>0</v>
      </c>
      <c r="F69" s="8" t="str">
        <f t="shared" ref="F69:F100" si="6">IF(A69="","",IF(D69&lt;&gt;E69,"YES","NO"))</f>
        <v>NO</v>
      </c>
      <c r="G69" s="8" t="s">
        <v>167</v>
      </c>
      <c r="H69" s="8">
        <f t="shared" ref="H69:H104" si="7">IF(A69="","",E69)</f>
        <v>0</v>
      </c>
      <c r="I69" s="7">
        <f>BLOCK_CATALOG!G69</f>
        <v>0</v>
      </c>
      <c r="J69" s="8" t="str">
        <f t="shared" ref="J69:J104" si="8">IF(A69="","",A69&amp;"-v"&amp;H69&amp;".zip")</f>
        <v>0-v0.zip</v>
      </c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>
        <f>BLOCK_CATALOG!A70</f>
        <v>0</v>
      </c>
      <c r="B70" s="8">
        <f>BLOCK_CATALOG!C70</f>
        <v>0</v>
      </c>
      <c r="C70" s="8">
        <f>BLOCK_CATALOG!D70</f>
        <v>0</v>
      </c>
      <c r="D70" s="8">
        <f>BLOCK_CATALOG!E70</f>
        <v>0</v>
      </c>
      <c r="E70" s="8">
        <f>BLOCK_CATALOG!F70</f>
        <v>0</v>
      </c>
      <c r="F70" s="8" t="str">
        <f t="shared" si="6"/>
        <v>NO</v>
      </c>
      <c r="G70" s="8" t="s">
        <v>167</v>
      </c>
      <c r="H70" s="8">
        <f t="shared" si="7"/>
        <v>0</v>
      </c>
      <c r="I70" s="7">
        <f>BLOCK_CATALOG!G70</f>
        <v>0</v>
      </c>
      <c r="J70" s="8" t="str">
        <f t="shared" si="8"/>
        <v>0-v0.zip</v>
      </c>
      <c r="K70" s="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>
        <f>BLOCK_CATALOG!A71</f>
        <v>0</v>
      </c>
      <c r="B71" s="8">
        <f>BLOCK_CATALOG!C71</f>
        <v>0</v>
      </c>
      <c r="C71" s="8">
        <f>BLOCK_CATALOG!D71</f>
        <v>0</v>
      </c>
      <c r="D71" s="8">
        <f>BLOCK_CATALOG!E71</f>
        <v>0</v>
      </c>
      <c r="E71" s="8">
        <f>BLOCK_CATALOG!F71</f>
        <v>0</v>
      </c>
      <c r="F71" s="8" t="str">
        <f t="shared" si="6"/>
        <v>NO</v>
      </c>
      <c r="G71" s="8" t="s">
        <v>167</v>
      </c>
      <c r="H71" s="8">
        <f t="shared" si="7"/>
        <v>0</v>
      </c>
      <c r="I71" s="7">
        <f>BLOCK_CATALOG!G71</f>
        <v>0</v>
      </c>
      <c r="J71" s="8" t="str">
        <f t="shared" si="8"/>
        <v>0-v0.zip</v>
      </c>
      <c r="K71" s="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>
        <f>BLOCK_CATALOG!A72</f>
        <v>0</v>
      </c>
      <c r="B72" s="8">
        <f>BLOCK_CATALOG!C72</f>
        <v>0</v>
      </c>
      <c r="C72" s="8">
        <f>BLOCK_CATALOG!D72</f>
        <v>0</v>
      </c>
      <c r="D72" s="8">
        <f>BLOCK_CATALOG!E72</f>
        <v>0</v>
      </c>
      <c r="E72" s="8">
        <f>BLOCK_CATALOG!F72</f>
        <v>0</v>
      </c>
      <c r="F72" s="8" t="str">
        <f t="shared" si="6"/>
        <v>NO</v>
      </c>
      <c r="G72" s="8" t="s">
        <v>167</v>
      </c>
      <c r="H72" s="8">
        <f t="shared" si="7"/>
        <v>0</v>
      </c>
      <c r="I72" s="7">
        <f>BLOCK_CATALOG!G72</f>
        <v>0</v>
      </c>
      <c r="J72" s="8" t="str">
        <f t="shared" si="8"/>
        <v>0-v0.zip</v>
      </c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8">
        <f>BLOCK_CATALOG!A73</f>
        <v>0</v>
      </c>
      <c r="B73" s="8">
        <f>BLOCK_CATALOG!C73</f>
        <v>0</v>
      </c>
      <c r="C73" s="8">
        <f>BLOCK_CATALOG!D73</f>
        <v>0</v>
      </c>
      <c r="D73" s="8">
        <f>BLOCK_CATALOG!E73</f>
        <v>0</v>
      </c>
      <c r="E73" s="8">
        <f>BLOCK_CATALOG!F73</f>
        <v>0</v>
      </c>
      <c r="F73" s="8" t="str">
        <f t="shared" si="6"/>
        <v>NO</v>
      </c>
      <c r="G73" s="8" t="s">
        <v>167</v>
      </c>
      <c r="H73" s="8">
        <f t="shared" si="7"/>
        <v>0</v>
      </c>
      <c r="I73" s="7">
        <f>BLOCK_CATALOG!G73</f>
        <v>0</v>
      </c>
      <c r="J73" s="8" t="str">
        <f t="shared" si="8"/>
        <v>0-v0.zip</v>
      </c>
      <c r="K73" s="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8">
        <f>BLOCK_CATALOG!A74</f>
        <v>0</v>
      </c>
      <c r="B74" s="8">
        <f>BLOCK_CATALOG!C74</f>
        <v>0</v>
      </c>
      <c r="C74" s="8">
        <f>BLOCK_CATALOG!D74</f>
        <v>0</v>
      </c>
      <c r="D74" s="8">
        <f>BLOCK_CATALOG!E74</f>
        <v>0</v>
      </c>
      <c r="E74" s="8">
        <f>BLOCK_CATALOG!F74</f>
        <v>0</v>
      </c>
      <c r="F74" s="8" t="str">
        <f t="shared" si="6"/>
        <v>NO</v>
      </c>
      <c r="G74" s="8" t="s">
        <v>167</v>
      </c>
      <c r="H74" s="8">
        <f t="shared" si="7"/>
        <v>0</v>
      </c>
      <c r="I74" s="7">
        <f>BLOCK_CATALOG!G74</f>
        <v>0</v>
      </c>
      <c r="J74" s="8" t="str">
        <f t="shared" si="8"/>
        <v>0-v0.zip</v>
      </c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8">
        <f>BLOCK_CATALOG!A75</f>
        <v>0</v>
      </c>
      <c r="B75" s="8">
        <f>BLOCK_CATALOG!C75</f>
        <v>0</v>
      </c>
      <c r="C75" s="8">
        <f>BLOCK_CATALOG!D75</f>
        <v>0</v>
      </c>
      <c r="D75" s="8">
        <f>BLOCK_CATALOG!E75</f>
        <v>0</v>
      </c>
      <c r="E75" s="8">
        <f>BLOCK_CATALOG!F75</f>
        <v>0</v>
      </c>
      <c r="F75" s="8" t="str">
        <f t="shared" si="6"/>
        <v>NO</v>
      </c>
      <c r="G75" s="8" t="s">
        <v>167</v>
      </c>
      <c r="H75" s="8">
        <f t="shared" si="7"/>
        <v>0</v>
      </c>
      <c r="I75" s="7">
        <f>BLOCK_CATALOG!G75</f>
        <v>0</v>
      </c>
      <c r="J75" s="8" t="str">
        <f t="shared" si="8"/>
        <v>0-v0.zip</v>
      </c>
      <c r="K75" s="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8">
        <f>BLOCK_CATALOG!A76</f>
        <v>0</v>
      </c>
      <c r="B76" s="8">
        <f>BLOCK_CATALOG!C76</f>
        <v>0</v>
      </c>
      <c r="C76" s="8">
        <f>BLOCK_CATALOG!D76</f>
        <v>0</v>
      </c>
      <c r="D76" s="8">
        <f>BLOCK_CATALOG!E76</f>
        <v>0</v>
      </c>
      <c r="E76" s="8">
        <f>BLOCK_CATALOG!F76</f>
        <v>0</v>
      </c>
      <c r="F76" s="8" t="str">
        <f t="shared" si="6"/>
        <v>NO</v>
      </c>
      <c r="G76" s="8" t="s">
        <v>167</v>
      </c>
      <c r="H76" s="8">
        <f t="shared" si="7"/>
        <v>0</v>
      </c>
      <c r="I76" s="7">
        <f>BLOCK_CATALOG!G76</f>
        <v>0</v>
      </c>
      <c r="J76" s="8" t="str">
        <f t="shared" si="8"/>
        <v>0-v0.zip</v>
      </c>
      <c r="K76" s="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8">
        <f>BLOCK_CATALOG!A77</f>
        <v>0</v>
      </c>
      <c r="B77" s="8">
        <f>BLOCK_CATALOG!C77</f>
        <v>0</v>
      </c>
      <c r="C77" s="8">
        <f>BLOCK_CATALOG!D77</f>
        <v>0</v>
      </c>
      <c r="D77" s="8">
        <f>BLOCK_CATALOG!E77</f>
        <v>0</v>
      </c>
      <c r="E77" s="8">
        <f>BLOCK_CATALOG!F77</f>
        <v>0</v>
      </c>
      <c r="F77" s="8" t="str">
        <f t="shared" si="6"/>
        <v>NO</v>
      </c>
      <c r="G77" s="8" t="s">
        <v>167</v>
      </c>
      <c r="H77" s="8">
        <f t="shared" si="7"/>
        <v>0</v>
      </c>
      <c r="I77" s="7">
        <f>BLOCK_CATALOG!G77</f>
        <v>0</v>
      </c>
      <c r="J77" s="8" t="str">
        <f t="shared" si="8"/>
        <v>0-v0.zip</v>
      </c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8">
        <f>BLOCK_CATALOG!A78</f>
        <v>0</v>
      </c>
      <c r="B78" s="8">
        <f>BLOCK_CATALOG!C78</f>
        <v>0</v>
      </c>
      <c r="C78" s="8">
        <f>BLOCK_CATALOG!D78</f>
        <v>0</v>
      </c>
      <c r="D78" s="8">
        <f>BLOCK_CATALOG!E78</f>
        <v>0</v>
      </c>
      <c r="E78" s="8">
        <f>BLOCK_CATALOG!F78</f>
        <v>0</v>
      </c>
      <c r="F78" s="8" t="str">
        <f t="shared" si="6"/>
        <v>NO</v>
      </c>
      <c r="G78" s="8" t="s">
        <v>167</v>
      </c>
      <c r="H78" s="8">
        <f t="shared" si="7"/>
        <v>0</v>
      </c>
      <c r="I78" s="7">
        <f>BLOCK_CATALOG!G78</f>
        <v>0</v>
      </c>
      <c r="J78" s="8" t="str">
        <f t="shared" si="8"/>
        <v>0-v0.zip</v>
      </c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8">
        <f>BLOCK_CATALOG!A79</f>
        <v>0</v>
      </c>
      <c r="B79" s="8">
        <f>BLOCK_CATALOG!C79</f>
        <v>0</v>
      </c>
      <c r="C79" s="8">
        <f>BLOCK_CATALOG!D79</f>
        <v>0</v>
      </c>
      <c r="D79" s="8">
        <f>BLOCK_CATALOG!E79</f>
        <v>0</v>
      </c>
      <c r="E79" s="8">
        <f>BLOCK_CATALOG!F79</f>
        <v>0</v>
      </c>
      <c r="F79" s="8" t="str">
        <f t="shared" si="6"/>
        <v>NO</v>
      </c>
      <c r="G79" s="8" t="s">
        <v>167</v>
      </c>
      <c r="H79" s="8">
        <f t="shared" si="7"/>
        <v>0</v>
      </c>
      <c r="I79" s="7">
        <f>BLOCK_CATALOG!G79</f>
        <v>0</v>
      </c>
      <c r="J79" s="8" t="str">
        <f t="shared" si="8"/>
        <v>0-v0.zip</v>
      </c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>
        <f>BLOCK_CATALOG!A80</f>
        <v>0</v>
      </c>
      <c r="B80" s="8">
        <f>BLOCK_CATALOG!C80</f>
        <v>0</v>
      </c>
      <c r="C80" s="8">
        <f>BLOCK_CATALOG!D80</f>
        <v>0</v>
      </c>
      <c r="D80" s="8">
        <f>BLOCK_CATALOG!E80</f>
        <v>0</v>
      </c>
      <c r="E80" s="8">
        <f>BLOCK_CATALOG!F80</f>
        <v>0</v>
      </c>
      <c r="F80" s="8" t="str">
        <f t="shared" si="6"/>
        <v>NO</v>
      </c>
      <c r="G80" s="8" t="s">
        <v>167</v>
      </c>
      <c r="H80" s="8">
        <f t="shared" si="7"/>
        <v>0</v>
      </c>
      <c r="I80" s="7">
        <f>BLOCK_CATALOG!G80</f>
        <v>0</v>
      </c>
      <c r="J80" s="8" t="str">
        <f t="shared" si="8"/>
        <v>0-v0.zip</v>
      </c>
      <c r="K80" s="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8">
        <f>BLOCK_CATALOG!A81</f>
        <v>0</v>
      </c>
      <c r="B81" s="8">
        <f>BLOCK_CATALOG!C81</f>
        <v>0</v>
      </c>
      <c r="C81" s="8">
        <f>BLOCK_CATALOG!D81</f>
        <v>0</v>
      </c>
      <c r="D81" s="8">
        <f>BLOCK_CATALOG!E81</f>
        <v>0</v>
      </c>
      <c r="E81" s="8">
        <f>BLOCK_CATALOG!F81</f>
        <v>0</v>
      </c>
      <c r="F81" s="8" t="str">
        <f t="shared" si="6"/>
        <v>NO</v>
      </c>
      <c r="G81" s="8" t="s">
        <v>167</v>
      </c>
      <c r="H81" s="8">
        <f t="shared" si="7"/>
        <v>0</v>
      </c>
      <c r="I81" s="7">
        <f>BLOCK_CATALOG!G81</f>
        <v>0</v>
      </c>
      <c r="J81" s="8" t="str">
        <f t="shared" si="8"/>
        <v>0-v0.zip</v>
      </c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8">
        <f>BLOCK_CATALOG!A82</f>
        <v>0</v>
      </c>
      <c r="B82" s="8">
        <f>BLOCK_CATALOG!C82</f>
        <v>0</v>
      </c>
      <c r="C82" s="8">
        <f>BLOCK_CATALOG!D82</f>
        <v>0</v>
      </c>
      <c r="D82" s="8">
        <f>BLOCK_CATALOG!E82</f>
        <v>0</v>
      </c>
      <c r="E82" s="8">
        <f>BLOCK_CATALOG!F82</f>
        <v>0</v>
      </c>
      <c r="F82" s="8" t="str">
        <f t="shared" si="6"/>
        <v>NO</v>
      </c>
      <c r="G82" s="8" t="s">
        <v>167</v>
      </c>
      <c r="H82" s="8">
        <f t="shared" si="7"/>
        <v>0</v>
      </c>
      <c r="I82" s="7">
        <f>BLOCK_CATALOG!G82</f>
        <v>0</v>
      </c>
      <c r="J82" s="8" t="str">
        <f t="shared" si="8"/>
        <v>0-v0.zip</v>
      </c>
      <c r="K82" s="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8">
        <f>BLOCK_CATALOG!A83</f>
        <v>0</v>
      </c>
      <c r="B83" s="8">
        <f>BLOCK_CATALOG!C83</f>
        <v>0</v>
      </c>
      <c r="C83" s="8">
        <f>BLOCK_CATALOG!D83</f>
        <v>0</v>
      </c>
      <c r="D83" s="8">
        <f>BLOCK_CATALOG!E83</f>
        <v>0</v>
      </c>
      <c r="E83" s="8">
        <f>BLOCK_CATALOG!F83</f>
        <v>0</v>
      </c>
      <c r="F83" s="8" t="str">
        <f t="shared" si="6"/>
        <v>NO</v>
      </c>
      <c r="G83" s="8" t="s">
        <v>167</v>
      </c>
      <c r="H83" s="8">
        <f t="shared" si="7"/>
        <v>0</v>
      </c>
      <c r="I83" s="7">
        <f>BLOCK_CATALOG!G83</f>
        <v>0</v>
      </c>
      <c r="J83" s="8" t="str">
        <f t="shared" si="8"/>
        <v>0-v0.zip</v>
      </c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8">
        <f>BLOCK_CATALOG!A84</f>
        <v>0</v>
      </c>
      <c r="B84" s="8">
        <f>BLOCK_CATALOG!C84</f>
        <v>0</v>
      </c>
      <c r="C84" s="8">
        <f>BLOCK_CATALOG!D84</f>
        <v>0</v>
      </c>
      <c r="D84" s="8">
        <f>BLOCK_CATALOG!E84</f>
        <v>0</v>
      </c>
      <c r="E84" s="8">
        <f>BLOCK_CATALOG!F84</f>
        <v>0</v>
      </c>
      <c r="F84" s="8" t="str">
        <f t="shared" si="6"/>
        <v>NO</v>
      </c>
      <c r="G84" s="8" t="s">
        <v>167</v>
      </c>
      <c r="H84" s="8">
        <f t="shared" si="7"/>
        <v>0</v>
      </c>
      <c r="I84" s="7">
        <f>BLOCK_CATALOG!G84</f>
        <v>0</v>
      </c>
      <c r="J84" s="8" t="str">
        <f t="shared" si="8"/>
        <v>0-v0.zip</v>
      </c>
      <c r="K84" s="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8">
        <f>BLOCK_CATALOG!A85</f>
        <v>0</v>
      </c>
      <c r="B85" s="8">
        <f>BLOCK_CATALOG!C85</f>
        <v>0</v>
      </c>
      <c r="C85" s="8">
        <f>BLOCK_CATALOG!D85</f>
        <v>0</v>
      </c>
      <c r="D85" s="8">
        <f>BLOCK_CATALOG!E85</f>
        <v>0</v>
      </c>
      <c r="E85" s="8">
        <f>BLOCK_CATALOG!F85</f>
        <v>0</v>
      </c>
      <c r="F85" s="8" t="str">
        <f t="shared" si="6"/>
        <v>NO</v>
      </c>
      <c r="G85" s="8" t="s">
        <v>167</v>
      </c>
      <c r="H85" s="8">
        <f t="shared" si="7"/>
        <v>0</v>
      </c>
      <c r="I85" s="7">
        <f>BLOCK_CATALOG!G85</f>
        <v>0</v>
      </c>
      <c r="J85" s="8" t="str">
        <f t="shared" si="8"/>
        <v>0-v0.zip</v>
      </c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8">
        <f>BLOCK_CATALOG!A86</f>
        <v>0</v>
      </c>
      <c r="B86" s="8">
        <f>BLOCK_CATALOG!C86</f>
        <v>0</v>
      </c>
      <c r="C86" s="8">
        <f>BLOCK_CATALOG!D86</f>
        <v>0</v>
      </c>
      <c r="D86" s="8">
        <f>BLOCK_CATALOG!E86</f>
        <v>0</v>
      </c>
      <c r="E86" s="8">
        <f>BLOCK_CATALOG!F86</f>
        <v>0</v>
      </c>
      <c r="F86" s="8" t="str">
        <f t="shared" si="6"/>
        <v>NO</v>
      </c>
      <c r="G86" s="8" t="s">
        <v>167</v>
      </c>
      <c r="H86" s="8">
        <f t="shared" si="7"/>
        <v>0</v>
      </c>
      <c r="I86" s="7">
        <f>BLOCK_CATALOG!G86</f>
        <v>0</v>
      </c>
      <c r="J86" s="8" t="str">
        <f t="shared" si="8"/>
        <v>0-v0.zip</v>
      </c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8">
        <f>BLOCK_CATALOG!A87</f>
        <v>0</v>
      </c>
      <c r="B87" s="8">
        <f>BLOCK_CATALOG!C87</f>
        <v>0</v>
      </c>
      <c r="C87" s="8">
        <f>BLOCK_CATALOG!D87</f>
        <v>0</v>
      </c>
      <c r="D87" s="8">
        <f>BLOCK_CATALOG!E87</f>
        <v>0</v>
      </c>
      <c r="E87" s="8">
        <f>BLOCK_CATALOG!F87</f>
        <v>0</v>
      </c>
      <c r="F87" s="8" t="str">
        <f t="shared" si="6"/>
        <v>NO</v>
      </c>
      <c r="G87" s="8" t="s">
        <v>167</v>
      </c>
      <c r="H87" s="8">
        <f t="shared" si="7"/>
        <v>0</v>
      </c>
      <c r="I87" s="7">
        <f>BLOCK_CATALOG!G87</f>
        <v>0</v>
      </c>
      <c r="J87" s="8" t="str">
        <f t="shared" si="8"/>
        <v>0-v0.zip</v>
      </c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8">
        <f>BLOCK_CATALOG!A88</f>
        <v>0</v>
      </c>
      <c r="B88" s="8">
        <f>BLOCK_CATALOG!C88</f>
        <v>0</v>
      </c>
      <c r="C88" s="8">
        <f>BLOCK_CATALOG!D88</f>
        <v>0</v>
      </c>
      <c r="D88" s="8">
        <f>BLOCK_CATALOG!E88</f>
        <v>0</v>
      </c>
      <c r="E88" s="8">
        <f>BLOCK_CATALOG!F88</f>
        <v>0</v>
      </c>
      <c r="F88" s="8" t="str">
        <f t="shared" si="6"/>
        <v>NO</v>
      </c>
      <c r="G88" s="8" t="s">
        <v>167</v>
      </c>
      <c r="H88" s="8">
        <f t="shared" si="7"/>
        <v>0</v>
      </c>
      <c r="I88" s="7">
        <f>BLOCK_CATALOG!G88</f>
        <v>0</v>
      </c>
      <c r="J88" s="8" t="str">
        <f t="shared" si="8"/>
        <v>0-v0.zip</v>
      </c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8">
        <f>BLOCK_CATALOG!A89</f>
        <v>0</v>
      </c>
      <c r="B89" s="8">
        <f>BLOCK_CATALOG!C89</f>
        <v>0</v>
      </c>
      <c r="C89" s="8">
        <f>BLOCK_CATALOG!D89</f>
        <v>0</v>
      </c>
      <c r="D89" s="8">
        <f>BLOCK_CATALOG!E89</f>
        <v>0</v>
      </c>
      <c r="E89" s="8">
        <f>BLOCK_CATALOG!F89</f>
        <v>0</v>
      </c>
      <c r="F89" s="8" t="str">
        <f t="shared" si="6"/>
        <v>NO</v>
      </c>
      <c r="G89" s="8" t="s">
        <v>167</v>
      </c>
      <c r="H89" s="8">
        <f t="shared" si="7"/>
        <v>0</v>
      </c>
      <c r="I89" s="7">
        <f>BLOCK_CATALOG!G89</f>
        <v>0</v>
      </c>
      <c r="J89" s="8" t="str">
        <f t="shared" si="8"/>
        <v>0-v0.zip</v>
      </c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8">
        <f>BLOCK_CATALOG!A90</f>
        <v>0</v>
      </c>
      <c r="B90" s="8">
        <f>BLOCK_CATALOG!C90</f>
        <v>0</v>
      </c>
      <c r="C90" s="8">
        <f>BLOCK_CATALOG!D90</f>
        <v>0</v>
      </c>
      <c r="D90" s="8">
        <f>BLOCK_CATALOG!E90</f>
        <v>0</v>
      </c>
      <c r="E90" s="8">
        <f>BLOCK_CATALOG!F90</f>
        <v>0</v>
      </c>
      <c r="F90" s="8" t="str">
        <f t="shared" si="6"/>
        <v>NO</v>
      </c>
      <c r="G90" s="8" t="s">
        <v>167</v>
      </c>
      <c r="H90" s="8">
        <f t="shared" si="7"/>
        <v>0</v>
      </c>
      <c r="I90" s="7">
        <f>BLOCK_CATALOG!G90</f>
        <v>0</v>
      </c>
      <c r="J90" s="8" t="str">
        <f t="shared" si="8"/>
        <v>0-v0.zip</v>
      </c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8">
        <f>BLOCK_CATALOG!A91</f>
        <v>0</v>
      </c>
      <c r="B91" s="8">
        <f>BLOCK_CATALOG!C91</f>
        <v>0</v>
      </c>
      <c r="C91" s="8">
        <f>BLOCK_CATALOG!D91</f>
        <v>0</v>
      </c>
      <c r="D91" s="8">
        <f>BLOCK_CATALOG!E91</f>
        <v>0</v>
      </c>
      <c r="E91" s="8">
        <f>BLOCK_CATALOG!F91</f>
        <v>0</v>
      </c>
      <c r="F91" s="8" t="str">
        <f t="shared" si="6"/>
        <v>NO</v>
      </c>
      <c r="G91" s="8" t="s">
        <v>167</v>
      </c>
      <c r="H91" s="8">
        <f t="shared" si="7"/>
        <v>0</v>
      </c>
      <c r="I91" s="7">
        <f>BLOCK_CATALOG!G91</f>
        <v>0</v>
      </c>
      <c r="J91" s="8" t="str">
        <f t="shared" si="8"/>
        <v>0-v0.zip</v>
      </c>
      <c r="K91" s="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8">
        <f>BLOCK_CATALOG!A92</f>
        <v>0</v>
      </c>
      <c r="B92" s="8">
        <f>BLOCK_CATALOG!C92</f>
        <v>0</v>
      </c>
      <c r="C92" s="8">
        <f>BLOCK_CATALOG!D92</f>
        <v>0</v>
      </c>
      <c r="D92" s="8">
        <f>BLOCK_CATALOG!E92</f>
        <v>0</v>
      </c>
      <c r="E92" s="8">
        <f>BLOCK_CATALOG!F92</f>
        <v>0</v>
      </c>
      <c r="F92" s="8" t="str">
        <f t="shared" si="6"/>
        <v>NO</v>
      </c>
      <c r="G92" s="8" t="s">
        <v>167</v>
      </c>
      <c r="H92" s="8">
        <f t="shared" si="7"/>
        <v>0</v>
      </c>
      <c r="I92" s="7">
        <f>BLOCK_CATALOG!G92</f>
        <v>0</v>
      </c>
      <c r="J92" s="8" t="str">
        <f t="shared" si="8"/>
        <v>0-v0.zip</v>
      </c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8">
        <f>BLOCK_CATALOG!A93</f>
        <v>0</v>
      </c>
      <c r="B93" s="8">
        <f>BLOCK_CATALOG!C93</f>
        <v>0</v>
      </c>
      <c r="C93" s="8">
        <f>BLOCK_CATALOG!D93</f>
        <v>0</v>
      </c>
      <c r="D93" s="8">
        <f>BLOCK_CATALOG!E93</f>
        <v>0</v>
      </c>
      <c r="E93" s="8">
        <f>BLOCK_CATALOG!F93</f>
        <v>0</v>
      </c>
      <c r="F93" s="8" t="str">
        <f t="shared" si="6"/>
        <v>NO</v>
      </c>
      <c r="G93" s="8" t="s">
        <v>167</v>
      </c>
      <c r="H93" s="8">
        <f t="shared" si="7"/>
        <v>0</v>
      </c>
      <c r="I93" s="7">
        <f>BLOCK_CATALOG!G93</f>
        <v>0</v>
      </c>
      <c r="J93" s="8" t="str">
        <f t="shared" si="8"/>
        <v>0-v0.zip</v>
      </c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8">
        <f>BLOCK_CATALOG!A94</f>
        <v>0</v>
      </c>
      <c r="B94" s="8">
        <f>BLOCK_CATALOG!C94</f>
        <v>0</v>
      </c>
      <c r="C94" s="8">
        <f>BLOCK_CATALOG!D94</f>
        <v>0</v>
      </c>
      <c r="D94" s="8">
        <f>BLOCK_CATALOG!E94</f>
        <v>0</v>
      </c>
      <c r="E94" s="8">
        <f>BLOCK_CATALOG!F94</f>
        <v>0</v>
      </c>
      <c r="F94" s="8" t="str">
        <f t="shared" si="6"/>
        <v>NO</v>
      </c>
      <c r="G94" s="8" t="s">
        <v>167</v>
      </c>
      <c r="H94" s="8">
        <f t="shared" si="7"/>
        <v>0</v>
      </c>
      <c r="I94" s="7">
        <f>BLOCK_CATALOG!G94</f>
        <v>0</v>
      </c>
      <c r="J94" s="8" t="str">
        <f t="shared" si="8"/>
        <v>0-v0.zip</v>
      </c>
      <c r="K94" s="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8">
        <f>BLOCK_CATALOG!A95</f>
        <v>0</v>
      </c>
      <c r="B95" s="8">
        <f>BLOCK_CATALOG!C95</f>
        <v>0</v>
      </c>
      <c r="C95" s="8">
        <f>BLOCK_CATALOG!D95</f>
        <v>0</v>
      </c>
      <c r="D95" s="8">
        <f>BLOCK_CATALOG!E95</f>
        <v>0</v>
      </c>
      <c r="E95" s="8">
        <f>BLOCK_CATALOG!F95</f>
        <v>0</v>
      </c>
      <c r="F95" s="8" t="str">
        <f t="shared" si="6"/>
        <v>NO</v>
      </c>
      <c r="G95" s="8" t="s">
        <v>167</v>
      </c>
      <c r="H95" s="8">
        <f t="shared" si="7"/>
        <v>0</v>
      </c>
      <c r="I95" s="7">
        <f>BLOCK_CATALOG!G95</f>
        <v>0</v>
      </c>
      <c r="J95" s="8" t="str">
        <f t="shared" si="8"/>
        <v>0-v0.zip</v>
      </c>
      <c r="K95" s="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8">
        <f>BLOCK_CATALOG!A96</f>
        <v>0</v>
      </c>
      <c r="B96" s="8">
        <f>BLOCK_CATALOG!C96</f>
        <v>0</v>
      </c>
      <c r="C96" s="8">
        <f>BLOCK_CATALOG!D96</f>
        <v>0</v>
      </c>
      <c r="D96" s="8">
        <f>BLOCK_CATALOG!E96</f>
        <v>0</v>
      </c>
      <c r="E96" s="8">
        <f>BLOCK_CATALOG!F96</f>
        <v>0</v>
      </c>
      <c r="F96" s="8" t="str">
        <f t="shared" si="6"/>
        <v>NO</v>
      </c>
      <c r="G96" s="8" t="s">
        <v>167</v>
      </c>
      <c r="H96" s="8">
        <f t="shared" si="7"/>
        <v>0</v>
      </c>
      <c r="I96" s="7">
        <f>BLOCK_CATALOG!G96</f>
        <v>0</v>
      </c>
      <c r="J96" s="8" t="str">
        <f t="shared" si="8"/>
        <v>0-v0.zip</v>
      </c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8">
        <f>BLOCK_CATALOG!A97</f>
        <v>0</v>
      </c>
      <c r="B97" s="8">
        <f>BLOCK_CATALOG!C97</f>
        <v>0</v>
      </c>
      <c r="C97" s="8">
        <f>BLOCK_CATALOG!D97</f>
        <v>0</v>
      </c>
      <c r="D97" s="8">
        <f>BLOCK_CATALOG!E97</f>
        <v>0</v>
      </c>
      <c r="E97" s="8">
        <f>BLOCK_CATALOG!F97</f>
        <v>0</v>
      </c>
      <c r="F97" s="8" t="str">
        <f t="shared" si="6"/>
        <v>NO</v>
      </c>
      <c r="G97" s="8" t="s">
        <v>167</v>
      </c>
      <c r="H97" s="8">
        <f t="shared" si="7"/>
        <v>0</v>
      </c>
      <c r="I97" s="7">
        <f>BLOCK_CATALOG!G97</f>
        <v>0</v>
      </c>
      <c r="J97" s="8" t="str">
        <f t="shared" si="8"/>
        <v>0-v0.zip</v>
      </c>
      <c r="K97" s="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8">
        <f>BLOCK_CATALOG!A98</f>
        <v>0</v>
      </c>
      <c r="B98" s="8">
        <f>BLOCK_CATALOG!C98</f>
        <v>0</v>
      </c>
      <c r="C98" s="8">
        <f>BLOCK_CATALOG!D98</f>
        <v>0</v>
      </c>
      <c r="D98" s="8">
        <f>BLOCK_CATALOG!E98</f>
        <v>0</v>
      </c>
      <c r="E98" s="8">
        <f>BLOCK_CATALOG!F98</f>
        <v>0</v>
      </c>
      <c r="F98" s="8" t="str">
        <f t="shared" si="6"/>
        <v>NO</v>
      </c>
      <c r="G98" s="8" t="s">
        <v>167</v>
      </c>
      <c r="H98" s="8">
        <f t="shared" si="7"/>
        <v>0</v>
      </c>
      <c r="I98" s="7">
        <f>BLOCK_CATALOG!G98</f>
        <v>0</v>
      </c>
      <c r="J98" s="8" t="str">
        <f t="shared" si="8"/>
        <v>0-v0.zip</v>
      </c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8">
        <f>BLOCK_CATALOG!A99</f>
        <v>0</v>
      </c>
      <c r="B99" s="8">
        <f>BLOCK_CATALOG!C99</f>
        <v>0</v>
      </c>
      <c r="C99" s="8">
        <f>BLOCK_CATALOG!D99</f>
        <v>0</v>
      </c>
      <c r="D99" s="8">
        <f>BLOCK_CATALOG!E99</f>
        <v>0</v>
      </c>
      <c r="E99" s="8">
        <f>BLOCK_CATALOG!F99</f>
        <v>0</v>
      </c>
      <c r="F99" s="8" t="str">
        <f t="shared" si="6"/>
        <v>NO</v>
      </c>
      <c r="G99" s="8" t="s">
        <v>167</v>
      </c>
      <c r="H99" s="8">
        <f t="shared" si="7"/>
        <v>0</v>
      </c>
      <c r="I99" s="7">
        <f>BLOCK_CATALOG!G99</f>
        <v>0</v>
      </c>
      <c r="J99" s="8" t="str">
        <f t="shared" si="8"/>
        <v>0-v0.zip</v>
      </c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8">
        <f>BLOCK_CATALOG!A100</f>
        <v>0</v>
      </c>
      <c r="B100" s="8">
        <f>BLOCK_CATALOG!C100</f>
        <v>0</v>
      </c>
      <c r="C100" s="8">
        <f>BLOCK_CATALOG!D100</f>
        <v>0</v>
      </c>
      <c r="D100" s="8">
        <f>BLOCK_CATALOG!E100</f>
        <v>0</v>
      </c>
      <c r="E100" s="8">
        <f>BLOCK_CATALOG!F100</f>
        <v>0</v>
      </c>
      <c r="F100" s="8" t="str">
        <f t="shared" si="6"/>
        <v>NO</v>
      </c>
      <c r="G100" s="8" t="s">
        <v>167</v>
      </c>
      <c r="H100" s="8">
        <f t="shared" si="7"/>
        <v>0</v>
      </c>
      <c r="I100" s="7">
        <f>BLOCK_CATALOG!G100</f>
        <v>0</v>
      </c>
      <c r="J100" s="8" t="str">
        <f t="shared" si="8"/>
        <v>0-v0.zip</v>
      </c>
      <c r="K100" s="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>
        <f>BLOCK_CATALOG!A101</f>
        <v>0</v>
      </c>
      <c r="B101" s="8">
        <f>BLOCK_CATALOG!C101</f>
        <v>0</v>
      </c>
      <c r="C101" s="8">
        <f>BLOCK_CATALOG!D101</f>
        <v>0</v>
      </c>
      <c r="D101" s="8">
        <f>BLOCK_CATALOG!E101</f>
        <v>0</v>
      </c>
      <c r="E101" s="8">
        <f>BLOCK_CATALOG!F101</f>
        <v>0</v>
      </c>
      <c r="F101" s="8" t="str">
        <f t="shared" ref="F101:F132" si="9">IF(A101="","",IF(D101&lt;&gt;E101,"YES","NO"))</f>
        <v>NO</v>
      </c>
      <c r="G101" s="8" t="s">
        <v>167</v>
      </c>
      <c r="H101" s="8">
        <f t="shared" si="7"/>
        <v>0</v>
      </c>
      <c r="I101" s="7">
        <f>BLOCK_CATALOG!G101</f>
        <v>0</v>
      </c>
      <c r="J101" s="8" t="str">
        <f t="shared" si="8"/>
        <v>0-v0.zip</v>
      </c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>
        <f>BLOCK_CATALOG!A102</f>
        <v>0</v>
      </c>
      <c r="B102" s="8">
        <f>BLOCK_CATALOG!C102</f>
        <v>0</v>
      </c>
      <c r="C102" s="8">
        <f>BLOCK_CATALOG!D102</f>
        <v>0</v>
      </c>
      <c r="D102" s="8">
        <f>BLOCK_CATALOG!E102</f>
        <v>0</v>
      </c>
      <c r="E102" s="8">
        <f>BLOCK_CATALOG!F102</f>
        <v>0</v>
      </c>
      <c r="F102" s="8" t="str">
        <f t="shared" si="9"/>
        <v>NO</v>
      </c>
      <c r="G102" s="8" t="s">
        <v>167</v>
      </c>
      <c r="H102" s="8">
        <f t="shared" si="7"/>
        <v>0</v>
      </c>
      <c r="I102" s="7">
        <f>BLOCK_CATALOG!G102</f>
        <v>0</v>
      </c>
      <c r="J102" s="8" t="str">
        <f t="shared" si="8"/>
        <v>0-v0.zip</v>
      </c>
      <c r="K102" s="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>
        <f>BLOCK_CATALOG!A103</f>
        <v>0</v>
      </c>
      <c r="B103" s="8">
        <f>BLOCK_CATALOG!C103</f>
        <v>0</v>
      </c>
      <c r="C103" s="8">
        <f>BLOCK_CATALOG!D103</f>
        <v>0</v>
      </c>
      <c r="D103" s="8">
        <f>BLOCK_CATALOG!E103</f>
        <v>0</v>
      </c>
      <c r="E103" s="8">
        <f>BLOCK_CATALOG!F103</f>
        <v>0</v>
      </c>
      <c r="F103" s="8" t="str">
        <f t="shared" si="9"/>
        <v>NO</v>
      </c>
      <c r="G103" s="8" t="s">
        <v>167</v>
      </c>
      <c r="H103" s="8">
        <f t="shared" si="7"/>
        <v>0</v>
      </c>
      <c r="I103" s="7">
        <f>BLOCK_CATALOG!G103</f>
        <v>0</v>
      </c>
      <c r="J103" s="8" t="str">
        <f t="shared" si="8"/>
        <v>0-v0.zip</v>
      </c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>
        <f>BLOCK_CATALOG!A104</f>
        <v>0</v>
      </c>
      <c r="B104" s="8">
        <f>BLOCK_CATALOG!C104</f>
        <v>0</v>
      </c>
      <c r="C104" s="8">
        <f>BLOCK_CATALOG!D104</f>
        <v>0</v>
      </c>
      <c r="D104" s="8">
        <f>BLOCK_CATALOG!E104</f>
        <v>0</v>
      </c>
      <c r="E104" s="8">
        <f>BLOCK_CATALOG!F104</f>
        <v>0</v>
      </c>
      <c r="F104" s="8" t="str">
        <f t="shared" si="9"/>
        <v>NO</v>
      </c>
      <c r="G104" s="8" t="s">
        <v>167</v>
      </c>
      <c r="H104" s="8">
        <f t="shared" si="7"/>
        <v>0</v>
      </c>
      <c r="I104" s="7">
        <f>BLOCK_CATALOG!G104</f>
        <v>0</v>
      </c>
      <c r="J104" s="8" t="str">
        <f t="shared" si="8"/>
        <v>0-v0.zip</v>
      </c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K1"/>
    <mergeCell ref="A2:K2"/>
  </mergeCells>
  <conditionalFormatting sqref="F5:F104">
    <cfRule type="expression" dxfId="19" priority="1">
      <formula>F5="YES"</formula>
    </cfRule>
    <cfRule type="expression" dxfId="18" priority="2">
      <formula>F5="NO"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SETUP!$E$5:$E$7</xm:f>
          </x14:formula1>
          <xm:sqref>G5:G104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0"/>
  <sheetViews>
    <sheetView workbookViewId="0">
      <selection activeCell="E15" sqref="E15"/>
    </sheetView>
  </sheetViews>
  <sheetFormatPr defaultRowHeight="14.25"/>
  <cols>
    <col min="1" max="2" width="18" customWidth="1"/>
    <col min="3" max="3" width="22" customWidth="1"/>
    <col min="4" max="4" width="14" customWidth="1"/>
    <col min="5" max="5" width="16" customWidth="1"/>
    <col min="6" max="6" width="22" customWidth="1"/>
  </cols>
  <sheetData>
    <row r="1" spans="1:26" ht="33.950000000000003" customHeight="1">
      <c r="A1" s="14" t="s">
        <v>168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169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">
        <v>33</v>
      </c>
      <c r="B5" s="8" t="s">
        <v>65</v>
      </c>
      <c r="C5" s="8" t="s">
        <v>55</v>
      </c>
      <c r="D5" s="8" t="s">
        <v>96</v>
      </c>
      <c r="E5" s="8" t="s">
        <v>167</v>
      </c>
      <c r="F5" s="8" t="s">
        <v>57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">
        <v>34</v>
      </c>
      <c r="B6" s="8" t="s">
        <v>80</v>
      </c>
      <c r="C6" s="8" t="s">
        <v>142</v>
      </c>
      <c r="D6" s="8" t="s">
        <v>101</v>
      </c>
      <c r="E6" s="8" t="s">
        <v>130</v>
      </c>
      <c r="F6" s="8" t="s">
        <v>176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B7" s="8" t="s">
        <v>35</v>
      </c>
      <c r="C7" s="8" t="s">
        <v>144</v>
      </c>
      <c r="E7" s="8" t="s">
        <v>133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B8" s="8" t="s">
        <v>177</v>
      </c>
      <c r="C8" s="8" t="s">
        <v>146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B9" s="8" t="s">
        <v>178</v>
      </c>
      <c r="C9" s="8" t="s">
        <v>148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C10" s="8" t="s">
        <v>150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C11" s="8" t="s">
        <v>179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C12" s="8" t="s">
        <v>180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C13" s="8" t="s">
        <v>181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C14" s="8" t="s">
        <v>182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C15" s="8" t="s">
        <v>183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C16" s="8" t="s">
        <v>184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C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F1"/>
    <mergeCell ref="A2:F2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00"/>
  <sheetViews>
    <sheetView workbookViewId="0">
      <selection activeCell="B23" sqref="B23"/>
    </sheetView>
  </sheetViews>
  <sheetFormatPr defaultRowHeight="14.25"/>
  <cols>
    <col min="1" max="1" width="24" customWidth="1"/>
    <col min="2" max="2" width="80" customWidth="1"/>
  </cols>
  <sheetData>
    <row r="1" spans="1:26" ht="33.950000000000003" customHeight="1">
      <c r="A1" s="14" t="s">
        <v>185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15" t="s">
        <v>186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187</v>
      </c>
      <c r="B4" s="1" t="s">
        <v>188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" t="s">
        <v>189</v>
      </c>
      <c r="B5" s="8" t="s">
        <v>190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 t="s">
        <v>191</v>
      </c>
      <c r="B6" s="8" t="s">
        <v>192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193</v>
      </c>
      <c r="B7" s="8" t="s">
        <v>194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195</v>
      </c>
      <c r="B8" s="8" t="s">
        <v>196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 t="s">
        <v>197</v>
      </c>
      <c r="B9" s="8" t="s">
        <v>198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199</v>
      </c>
      <c r="B10" s="8" t="s">
        <v>200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201</v>
      </c>
      <c r="B11" s="8" t="s">
        <v>202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Dashboard</vt:lpstr>
      <vt:lpstr>BLOCK_CATALOG</vt:lpstr>
      <vt:lpstr>VISIBILITY_STATES</vt:lpstr>
      <vt:lpstr>ATTRIBUTES</vt:lpstr>
      <vt:lpstr>CHANGELOG</vt:lpstr>
      <vt:lpstr>CATEGORIES</vt:lpstr>
      <vt:lpstr>CANVA_EXPORT</vt:lpstr>
      <vt:lpstr>RELEASE_TRACKER</vt:lpstr>
      <vt:lpstr>SETUP</vt:lpstr>
      <vt:lpstr>README</vt:lpstr>
      <vt:lpstr>BlockTypes</vt:lpstr>
      <vt:lpstr>Categories</vt:lpstr>
      <vt:lpstr>Owners</vt:lpstr>
      <vt:lpstr>ReleaseTypes</vt:lpstr>
      <vt:lpstr>Statuses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Hagen</cp:lastModifiedBy>
  <dcterms:modified xsi:type="dcterms:W3CDTF">2026-06-17T19:10:30Z</dcterms:modified>
</cp:coreProperties>
</file>
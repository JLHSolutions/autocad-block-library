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agen\Dropbox\Cannon Construction\AutoCAD\2 - ALL BLOCKS\DESIGN BLOCKS\UTILITIES\"/>
    </mc:Choice>
  </mc:AlternateContent>
  <xr:revisionPtr revIDLastSave="0" documentId="13_ncr:1_{2FC78A16-79CF-46B2-942C-9F4383436F47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ReadMe" sheetId="1" r:id="rId1"/>
    <sheet name="Parameters" sheetId="2" r:id="rId2"/>
    <sheet name="PEDESTALS (LookupTable)" sheetId="3" r:id="rId3"/>
    <sheet name="PEDESTALS (AutoCAD_Export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6" i="2" s="1"/>
  <c r="N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N7" i="2" l="1"/>
  <c r="A79" i="3" l="1"/>
  <c r="A95" i="3"/>
  <c r="A111" i="3"/>
  <c r="A127" i="3"/>
  <c r="A143" i="3"/>
  <c r="A159" i="3"/>
  <c r="A121" i="3"/>
  <c r="A106" i="3"/>
  <c r="A80" i="3"/>
  <c r="A96" i="3"/>
  <c r="A112" i="3"/>
  <c r="A128" i="3"/>
  <c r="A144" i="3"/>
  <c r="A120" i="3"/>
  <c r="A153" i="3"/>
  <c r="A90" i="3"/>
  <c r="A81" i="3"/>
  <c r="A97" i="3"/>
  <c r="A113" i="3"/>
  <c r="A129" i="3"/>
  <c r="A145" i="3"/>
  <c r="A82" i="3"/>
  <c r="A98" i="3"/>
  <c r="A114" i="3"/>
  <c r="A130" i="3"/>
  <c r="A146" i="3"/>
  <c r="A84" i="3"/>
  <c r="A88" i="3"/>
  <c r="A138" i="3"/>
  <c r="A83" i="3"/>
  <c r="A99" i="3"/>
  <c r="A115" i="3"/>
  <c r="A131" i="3"/>
  <c r="A147" i="3"/>
  <c r="A100" i="3"/>
  <c r="A116" i="3"/>
  <c r="A132" i="3"/>
  <c r="A148" i="3"/>
  <c r="A152" i="3"/>
  <c r="A85" i="3"/>
  <c r="A101" i="3"/>
  <c r="A117" i="3"/>
  <c r="A133" i="3"/>
  <c r="A149" i="3"/>
  <c r="A86" i="3"/>
  <c r="A102" i="3"/>
  <c r="A118" i="3"/>
  <c r="A134" i="3"/>
  <c r="A150" i="3"/>
  <c r="A136" i="3"/>
  <c r="A89" i="3"/>
  <c r="A137" i="3"/>
  <c r="A122" i="3"/>
  <c r="A104" i="3"/>
  <c r="A105" i="3"/>
  <c r="A154" i="3"/>
  <c r="A87" i="3"/>
  <c r="A103" i="3"/>
  <c r="A119" i="3"/>
  <c r="A135" i="3"/>
  <c r="A151" i="3"/>
  <c r="A91" i="3"/>
  <c r="A155" i="3"/>
  <c r="A156" i="3"/>
  <c r="A94" i="3"/>
  <c r="A108" i="3"/>
  <c r="A109" i="3"/>
  <c r="A92" i="3"/>
  <c r="A158" i="3"/>
  <c r="A107" i="3"/>
  <c r="A123" i="3"/>
  <c r="A126" i="3"/>
  <c r="A142" i="3"/>
  <c r="A93" i="3"/>
  <c r="A157" i="3"/>
  <c r="A110" i="3"/>
  <c r="A139" i="3"/>
  <c r="A141" i="3"/>
  <c r="A124" i="3"/>
  <c r="A125" i="3"/>
  <c r="A140" i="3"/>
  <c r="A4" i="3"/>
  <c r="A4" i="4" s="1" a="1"/>
  <c r="A4" i="4" s="1"/>
  <c r="A20" i="3"/>
  <c r="A20" i="4" s="1" a="1"/>
  <c r="A20" i="4" s="1"/>
  <c r="A36" i="3"/>
  <c r="A36" i="4" s="1" a="1"/>
  <c r="A36" i="4" s="1"/>
  <c r="A52" i="3"/>
  <c r="A52" i="4" s="1" a="1"/>
  <c r="A52" i="4" s="1"/>
  <c r="A68" i="3"/>
  <c r="A68" i="4" s="1" a="1"/>
  <c r="A68" i="4" s="1"/>
  <c r="A7" i="3"/>
  <c r="A7" i="4" s="1" a="1"/>
  <c r="A7" i="4" s="1"/>
  <c r="A55" i="3"/>
  <c r="A55" i="4" s="1" a="1"/>
  <c r="A55" i="4" s="1"/>
  <c r="A71" i="3"/>
  <c r="A71" i="4" s="1" a="1"/>
  <c r="A71" i="4" s="1"/>
  <c r="A5" i="3"/>
  <c r="A5" i="4" s="1" a="1"/>
  <c r="A5" i="4" s="1"/>
  <c r="A21" i="3"/>
  <c r="A21" i="4" s="1" a="1"/>
  <c r="A21" i="4" s="1"/>
  <c r="A37" i="3"/>
  <c r="A37" i="4" s="1" a="1"/>
  <c r="A37" i="4" s="1"/>
  <c r="A53" i="3"/>
  <c r="A53" i="4" s="1" a="1"/>
  <c r="A53" i="4" s="1"/>
  <c r="A69" i="3"/>
  <c r="A69" i="4" s="1" a="1"/>
  <c r="A69" i="4" s="1"/>
  <c r="A23" i="3"/>
  <c r="A23" i="4" s="1" a="1"/>
  <c r="A23" i="4" s="1"/>
  <c r="A56" i="3"/>
  <c r="A56" i="4" s="1" a="1"/>
  <c r="A56" i="4" s="1"/>
  <c r="A35" i="3"/>
  <c r="A35" i="4" s="1" a="1"/>
  <c r="A35" i="4" s="1"/>
  <c r="A6" i="3"/>
  <c r="A6" i="4" s="1" a="1"/>
  <c r="A6" i="4" s="1"/>
  <c r="A22" i="3"/>
  <c r="A22" i="4" s="1" a="1"/>
  <c r="A22" i="4" s="1"/>
  <c r="A38" i="3"/>
  <c r="A38" i="4" s="1" a="1"/>
  <c r="A38" i="4" s="1"/>
  <c r="A54" i="3"/>
  <c r="A54" i="4" s="1" a="1"/>
  <c r="A54" i="4" s="1"/>
  <c r="A70" i="3"/>
  <c r="A70" i="4" s="1" a="1"/>
  <c r="A70" i="4" s="1"/>
  <c r="A39" i="3"/>
  <c r="A39" i="4" s="1" a="1"/>
  <c r="A39" i="4" s="1"/>
  <c r="A34" i="3"/>
  <c r="A34" i="4" s="1" a="1"/>
  <c r="A34" i="4" s="1"/>
  <c r="A8" i="3"/>
  <c r="A8" i="4" s="1" a="1"/>
  <c r="A8" i="4" s="1"/>
  <c r="A24" i="3"/>
  <c r="A24" i="4" s="1" a="1"/>
  <c r="A24" i="4" s="1"/>
  <c r="A40" i="3"/>
  <c r="A40" i="4" s="1" a="1"/>
  <c r="A40" i="4" s="1"/>
  <c r="A72" i="3"/>
  <c r="A72" i="4" s="1" a="1"/>
  <c r="A72" i="4" s="1"/>
  <c r="A9" i="3"/>
  <c r="A9" i="4" s="1" a="1"/>
  <c r="A9" i="4" s="1"/>
  <c r="A25" i="3"/>
  <c r="A25" i="4" s="1" a="1"/>
  <c r="A25" i="4" s="1"/>
  <c r="A41" i="3"/>
  <c r="A41" i="4" s="1" a="1"/>
  <c r="A41" i="4" s="1"/>
  <c r="A57" i="3"/>
  <c r="A57" i="4" s="1" a="1"/>
  <c r="A57" i="4" s="1"/>
  <c r="A73" i="3"/>
  <c r="A73" i="4" s="1" a="1"/>
  <c r="A73" i="4" s="1"/>
  <c r="A19" i="3"/>
  <c r="A19" i="4" s="1" a="1"/>
  <c r="A19" i="4" s="1"/>
  <c r="A10" i="3"/>
  <c r="A10" i="4" s="1" a="1"/>
  <c r="A10" i="4" s="1"/>
  <c r="A26" i="3"/>
  <c r="A26" i="4" s="1" a="1"/>
  <c r="A26" i="4" s="1"/>
  <c r="A42" i="3"/>
  <c r="A42" i="4" s="1" a="1"/>
  <c r="A42" i="4" s="1"/>
  <c r="A58" i="3"/>
  <c r="A58" i="4" s="1" a="1"/>
  <c r="A58" i="4" s="1"/>
  <c r="A74" i="3"/>
  <c r="A74" i="4" s="1" a="1"/>
  <c r="A74" i="4" s="1"/>
  <c r="A63" i="3"/>
  <c r="A63" i="4" s="1" a="1"/>
  <c r="A63" i="4" s="1"/>
  <c r="A48" i="3"/>
  <c r="A48" i="4" s="1" a="1"/>
  <c r="A48" i="4" s="1"/>
  <c r="A65" i="3"/>
  <c r="A65" i="4" s="1" a="1"/>
  <c r="A65" i="4" s="1"/>
  <c r="A11" i="3"/>
  <c r="A11" i="4" s="1" a="1"/>
  <c r="A11" i="4" s="1"/>
  <c r="A27" i="3"/>
  <c r="A27" i="4" s="1" a="1"/>
  <c r="A27" i="4" s="1"/>
  <c r="A43" i="3"/>
  <c r="A43" i="4" s="1" a="1"/>
  <c r="A43" i="4" s="1"/>
  <c r="A59" i="3"/>
  <c r="A59" i="4" s="1" a="1"/>
  <c r="A59" i="4" s="1"/>
  <c r="A75" i="3"/>
  <c r="A75" i="4" s="1" a="1"/>
  <c r="A75" i="4" s="1"/>
  <c r="A31" i="3"/>
  <c r="A31" i="4" s="1" a="1"/>
  <c r="A31" i="4" s="1"/>
  <c r="A49" i="3"/>
  <c r="A49" i="4" s="1" a="1"/>
  <c r="A49" i="4" s="1"/>
  <c r="A12" i="3"/>
  <c r="A12" i="4" s="1" a="1"/>
  <c r="A12" i="4" s="1"/>
  <c r="A28" i="3"/>
  <c r="A28" i="4" s="1" a="1"/>
  <c r="A28" i="4" s="1"/>
  <c r="A44" i="3"/>
  <c r="A44" i="4" s="1" a="1"/>
  <c r="A44" i="4" s="1"/>
  <c r="A60" i="3"/>
  <c r="A60" i="4" s="1" a="1"/>
  <c r="A60" i="4" s="1"/>
  <c r="A76" i="3"/>
  <c r="A76" i="4" s="1" a="1"/>
  <c r="A76" i="4" s="1"/>
  <c r="A50" i="3"/>
  <c r="A50" i="4" s="1" a="1"/>
  <c r="A50" i="4" s="1"/>
  <c r="A51" i="3"/>
  <c r="A51" i="4" s="1" a="1"/>
  <c r="A51" i="4" s="1"/>
  <c r="A13" i="3"/>
  <c r="A13" i="4" s="1" a="1"/>
  <c r="A13" i="4" s="1"/>
  <c r="A29" i="3"/>
  <c r="A29" i="4" s="1" a="1"/>
  <c r="A29" i="4" s="1"/>
  <c r="A45" i="3"/>
  <c r="A45" i="4" s="1" a="1"/>
  <c r="A45" i="4" s="1"/>
  <c r="A61" i="3"/>
  <c r="A61" i="4" s="1" a="1"/>
  <c r="A61" i="4" s="1"/>
  <c r="A77" i="3"/>
  <c r="A77" i="4" s="1" a="1"/>
  <c r="A77" i="4" s="1"/>
  <c r="A47" i="3"/>
  <c r="A47" i="4" s="1" a="1"/>
  <c r="A47" i="4" s="1"/>
  <c r="A32" i="3"/>
  <c r="A32" i="4" s="1" a="1"/>
  <c r="A32" i="4" s="1"/>
  <c r="A64" i="3"/>
  <c r="A64" i="4" s="1" a="1"/>
  <c r="A64" i="4" s="1"/>
  <c r="A33" i="3"/>
  <c r="A33" i="4" s="1" a="1"/>
  <c r="A33" i="4" s="1"/>
  <c r="A14" i="3"/>
  <c r="A14" i="4" s="1" a="1"/>
  <c r="A14" i="4" s="1"/>
  <c r="A30" i="3"/>
  <c r="A30" i="4" s="1" a="1"/>
  <c r="A30" i="4" s="1"/>
  <c r="A46" i="3"/>
  <c r="A46" i="4" s="1" a="1"/>
  <c r="A46" i="4" s="1"/>
  <c r="A62" i="3"/>
  <c r="A62" i="4" s="1" a="1"/>
  <c r="A62" i="4" s="1"/>
  <c r="A78" i="3"/>
  <c r="A78" i="4" s="1" a="1"/>
  <c r="A78" i="4" s="1"/>
  <c r="A15" i="3"/>
  <c r="A15" i="4" s="1" a="1"/>
  <c r="A15" i="4" s="1"/>
  <c r="A18" i="3"/>
  <c r="A18" i="4" s="1" a="1"/>
  <c r="A18" i="4" s="1"/>
  <c r="A17" i="3"/>
  <c r="A17" i="4" s="1" a="1"/>
  <c r="A17" i="4" s="1"/>
  <c r="A67" i="3"/>
  <c r="A67" i="4" s="1" a="1"/>
  <c r="A67" i="4" s="1"/>
  <c r="A16" i="3"/>
  <c r="A16" i="4" s="1" a="1"/>
  <c r="A16" i="4" s="1"/>
  <c r="A66" i="3"/>
  <c r="A66" i="4" s="1" a="1"/>
  <c r="A66" i="4" s="1"/>
  <c r="I32" i="3" l="1" a="1"/>
  <c r="I32" i="3" s="1"/>
  <c r="I75" i="3" a="1"/>
  <c r="I75" i="3" s="1"/>
  <c r="I41" i="3" a="1"/>
  <c r="I41" i="3" s="1"/>
  <c r="I23" i="3" a="1"/>
  <c r="I23" i="3" s="1"/>
  <c r="I47" i="3" a="1"/>
  <c r="I47" i="3" s="1"/>
  <c r="I59" i="3" a="1"/>
  <c r="I59" i="3" s="1"/>
  <c r="I25" i="3" a="1"/>
  <c r="I25" i="3" s="1"/>
  <c r="I69" i="3" a="1"/>
  <c r="I69" i="3" s="1"/>
  <c r="I77" i="3" a="1"/>
  <c r="I77" i="3" s="1"/>
  <c r="I43" i="3" a="1"/>
  <c r="I43" i="3" s="1"/>
  <c r="I9" i="3" a="1"/>
  <c r="I9" i="3" s="1"/>
  <c r="I53" i="3" a="1"/>
  <c r="I53" i="3" s="1"/>
  <c r="I66" i="3" a="1"/>
  <c r="I66" i="3" s="1"/>
  <c r="I61" i="3" a="1"/>
  <c r="I61" i="3" s="1"/>
  <c r="I27" i="3" a="1"/>
  <c r="I27" i="3" s="1"/>
  <c r="I72" i="3" a="1"/>
  <c r="I72" i="3" s="1"/>
  <c r="I37" i="3" a="1"/>
  <c r="I37" i="3" s="1"/>
  <c r="I16" i="3" a="1"/>
  <c r="I16" i="3" s="1"/>
  <c r="I45" i="3" a="1"/>
  <c r="I45" i="3" s="1"/>
  <c r="I11" i="3" a="1"/>
  <c r="I11" i="3" s="1"/>
  <c r="I40" i="3" a="1"/>
  <c r="I40" i="3" s="1"/>
  <c r="I21" i="3" a="1"/>
  <c r="I21" i="3" s="1"/>
  <c r="I56" i="3" a="1"/>
  <c r="I56" i="3" s="1"/>
  <c r="I67" i="3" a="1"/>
  <c r="I67" i="3" s="1"/>
  <c r="I29" i="3" a="1"/>
  <c r="I29" i="3" s="1"/>
  <c r="I65" i="3" a="1"/>
  <c r="I65" i="3" s="1"/>
  <c r="I24" i="3" a="1"/>
  <c r="I24" i="3" s="1"/>
  <c r="I5" i="3" a="1"/>
  <c r="I5" i="3" s="1"/>
  <c r="I17" i="3" a="1"/>
  <c r="I17" i="3" s="1"/>
  <c r="I13" i="3" a="1"/>
  <c r="I13" i="3" s="1"/>
  <c r="I48" i="3" a="1"/>
  <c r="I48" i="3" s="1"/>
  <c r="I8" i="3" a="1"/>
  <c r="I8" i="3" s="1"/>
  <c r="I71" i="3" a="1"/>
  <c r="I71" i="3" s="1"/>
  <c r="I64" i="3" a="1"/>
  <c r="I64" i="3" s="1"/>
  <c r="I18" i="3" a="1"/>
  <c r="I18" i="3" s="1"/>
  <c r="I51" i="3" a="1"/>
  <c r="I51" i="3" s="1"/>
  <c r="I63" i="3" a="1"/>
  <c r="I63" i="3" s="1"/>
  <c r="I34" i="3" a="1"/>
  <c r="I34" i="3" s="1"/>
  <c r="I55" i="3" a="1"/>
  <c r="I55" i="3" s="1"/>
  <c r="I15" i="3" a="1"/>
  <c r="I15" i="3" s="1"/>
  <c r="I50" i="3" a="1"/>
  <c r="I50" i="3" s="1"/>
  <c r="I74" i="3" a="1"/>
  <c r="I74" i="3" s="1"/>
  <c r="I39" i="3" a="1"/>
  <c r="I39" i="3" s="1"/>
  <c r="I7" i="3" a="1"/>
  <c r="I7" i="3" s="1"/>
  <c r="I57" i="3" a="1"/>
  <c r="I57" i="3" s="1"/>
  <c r="I78" i="3" a="1"/>
  <c r="I78" i="3" s="1"/>
  <c r="I76" i="3" a="1"/>
  <c r="I76" i="3" s="1"/>
  <c r="I58" i="3" a="1"/>
  <c r="I58" i="3" s="1"/>
  <c r="I70" i="3" a="1"/>
  <c r="I70" i="3" s="1"/>
  <c r="I68" i="3" a="1"/>
  <c r="I68" i="3" s="1"/>
  <c r="I62" i="3" a="1"/>
  <c r="I62" i="3" s="1"/>
  <c r="I60" i="3" a="1"/>
  <c r="I60" i="3" s="1"/>
  <c r="I42" i="3" a="1"/>
  <c r="I42" i="3" s="1"/>
  <c r="I54" i="3" a="1"/>
  <c r="I54" i="3" s="1"/>
  <c r="I52" i="3" a="1"/>
  <c r="I52" i="3" s="1"/>
  <c r="I31" i="3" a="1"/>
  <c r="I31" i="3" s="1"/>
  <c r="I46" i="3" a="1"/>
  <c r="I46" i="3" s="1"/>
  <c r="I44" i="3" a="1"/>
  <c r="I44" i="3" s="1"/>
  <c r="I26" i="3" a="1"/>
  <c r="I26" i="3" s="1"/>
  <c r="I38" i="3" a="1"/>
  <c r="I38" i="3" s="1"/>
  <c r="I36" i="3" a="1"/>
  <c r="I36" i="3" s="1"/>
  <c r="I30" i="3" a="1"/>
  <c r="I30" i="3" s="1"/>
  <c r="I28" i="3" a="1"/>
  <c r="I28" i="3" s="1"/>
  <c r="I10" i="3" a="1"/>
  <c r="I10" i="3" s="1"/>
  <c r="I22" i="3" a="1"/>
  <c r="I22" i="3" s="1"/>
  <c r="I20" i="3" a="1"/>
  <c r="I20" i="3" s="1"/>
  <c r="I14" i="3" a="1"/>
  <c r="I14" i="3" s="1"/>
  <c r="I12" i="3" a="1"/>
  <c r="I12" i="3" s="1"/>
  <c r="I19" i="3" a="1"/>
  <c r="I19" i="3" s="1"/>
  <c r="I6" i="3" a="1"/>
  <c r="I6" i="3" s="1"/>
  <c r="I33" i="3" a="1"/>
  <c r="I33" i="3" s="1"/>
  <c r="I49" i="3" a="1"/>
  <c r="I49" i="3" s="1"/>
  <c r="I73" i="3" a="1"/>
  <c r="I73" i="3" s="1"/>
  <c r="I35" i="3" a="1"/>
  <c r="I35" i="3" s="1"/>
  <c r="I4" i="3" a="1"/>
  <c r="I4" i="3" s="1"/>
  <c r="H125" i="3"/>
  <c r="I125" i="3" a="1"/>
  <c r="I125" i="3" s="1"/>
  <c r="H156" i="3"/>
  <c r="I156" i="3" a="1"/>
  <c r="I156" i="3" s="1"/>
  <c r="H134" i="3"/>
  <c r="I134" i="3" a="1"/>
  <c r="I134" i="3" s="1"/>
  <c r="H115" i="3"/>
  <c r="I115" i="3" a="1"/>
  <c r="I115" i="3" s="1"/>
  <c r="H90" i="3"/>
  <c r="I90" i="3" a="1"/>
  <c r="I90" i="3" s="1"/>
  <c r="H124" i="3"/>
  <c r="I124" i="3" a="1"/>
  <c r="I124" i="3" s="1"/>
  <c r="H155" i="3"/>
  <c r="I155" i="3" a="1"/>
  <c r="I155" i="3" s="1"/>
  <c r="H118" i="3"/>
  <c r="I118" i="3" a="1"/>
  <c r="I118" i="3" s="1"/>
  <c r="H99" i="3"/>
  <c r="I99" i="3" a="1"/>
  <c r="I99" i="3" s="1"/>
  <c r="H153" i="3"/>
  <c r="I153" i="3" a="1"/>
  <c r="I153" i="3" s="1"/>
  <c r="H141" i="3"/>
  <c r="I141" i="3" a="1"/>
  <c r="I141" i="3" s="1"/>
  <c r="H91" i="3"/>
  <c r="I91" i="3" a="1"/>
  <c r="I91" i="3" s="1"/>
  <c r="H102" i="3"/>
  <c r="I102" i="3" a="1"/>
  <c r="I102" i="3" s="1"/>
  <c r="I83" i="3" a="1"/>
  <c r="I83" i="3" s="1"/>
  <c r="H120" i="3"/>
  <c r="I120" i="3" a="1"/>
  <c r="I120" i="3" s="1"/>
  <c r="H139" i="3"/>
  <c r="I139" i="3" a="1"/>
  <c r="I139" i="3" s="1"/>
  <c r="H151" i="3"/>
  <c r="I151" i="3" a="1"/>
  <c r="I151" i="3" s="1"/>
  <c r="H86" i="3"/>
  <c r="I86" i="3" a="1"/>
  <c r="I86" i="3" s="1"/>
  <c r="H138" i="3"/>
  <c r="I138" i="3" a="1"/>
  <c r="I138" i="3" s="1"/>
  <c r="H144" i="3"/>
  <c r="I144" i="3" a="1"/>
  <c r="I144" i="3" s="1"/>
  <c r="H110" i="3"/>
  <c r="I110" i="3" a="1"/>
  <c r="I110" i="3" s="1"/>
  <c r="H135" i="3"/>
  <c r="I135" i="3" a="1"/>
  <c r="I135" i="3" s="1"/>
  <c r="H149" i="3"/>
  <c r="I149" i="3" a="1"/>
  <c r="I149" i="3" s="1"/>
  <c r="H88" i="3"/>
  <c r="I88" i="3" a="1"/>
  <c r="I88" i="3" s="1"/>
  <c r="H128" i="3"/>
  <c r="I128" i="3" a="1"/>
  <c r="I128" i="3" s="1"/>
  <c r="H157" i="3"/>
  <c r="I157" i="3" a="1"/>
  <c r="I157" i="3" s="1"/>
  <c r="H119" i="3"/>
  <c r="I119" i="3" a="1"/>
  <c r="I119" i="3" s="1"/>
  <c r="H133" i="3"/>
  <c r="I133" i="3" a="1"/>
  <c r="I133" i="3" s="1"/>
  <c r="H84" i="3"/>
  <c r="I84" i="3" a="1"/>
  <c r="I84" i="3" s="1"/>
  <c r="H112" i="3"/>
  <c r="I112" i="3" a="1"/>
  <c r="I112" i="3" s="1"/>
  <c r="H93" i="3"/>
  <c r="I93" i="3" a="1"/>
  <c r="I93" i="3" s="1"/>
  <c r="H103" i="3"/>
  <c r="I103" i="3" a="1"/>
  <c r="I103" i="3" s="1"/>
  <c r="H117" i="3"/>
  <c r="I117" i="3" a="1"/>
  <c r="I117" i="3" s="1"/>
  <c r="H146" i="3"/>
  <c r="I146" i="3" a="1"/>
  <c r="I146" i="3" s="1"/>
  <c r="H96" i="3"/>
  <c r="I96" i="3" a="1"/>
  <c r="I96" i="3" s="1"/>
  <c r="H142" i="3"/>
  <c r="I142" i="3" a="1"/>
  <c r="I142" i="3" s="1"/>
  <c r="H87" i="3"/>
  <c r="I87" i="3" a="1"/>
  <c r="I87" i="3" s="1"/>
  <c r="H101" i="3"/>
  <c r="I101" i="3" a="1"/>
  <c r="I101" i="3" s="1"/>
  <c r="H130" i="3"/>
  <c r="I130" i="3" a="1"/>
  <c r="I130" i="3" s="1"/>
  <c r="I80" i="3" a="1"/>
  <c r="I80" i="3" s="1"/>
  <c r="H126" i="3"/>
  <c r="I126" i="3" a="1"/>
  <c r="I126" i="3" s="1"/>
  <c r="H154" i="3"/>
  <c r="I154" i="3" a="1"/>
  <c r="I154" i="3" s="1"/>
  <c r="H85" i="3"/>
  <c r="I85" i="3" a="1"/>
  <c r="I85" i="3" s="1"/>
  <c r="H114" i="3"/>
  <c r="I114" i="3" a="1"/>
  <c r="I114" i="3" s="1"/>
  <c r="H106" i="3"/>
  <c r="I106" i="3" a="1"/>
  <c r="I106" i="3" s="1"/>
  <c r="H123" i="3"/>
  <c r="I123" i="3" a="1"/>
  <c r="I123" i="3" s="1"/>
  <c r="H105" i="3"/>
  <c r="I105" i="3" a="1"/>
  <c r="I105" i="3" s="1"/>
  <c r="H152" i="3"/>
  <c r="I152" i="3" a="1"/>
  <c r="I152" i="3" s="1"/>
  <c r="H98" i="3"/>
  <c r="I98" i="3" a="1"/>
  <c r="I98" i="3" s="1"/>
  <c r="H121" i="3"/>
  <c r="I121" i="3" a="1"/>
  <c r="I121" i="3" s="1"/>
  <c r="H107" i="3"/>
  <c r="I107" i="3" a="1"/>
  <c r="I107" i="3" s="1"/>
  <c r="H104" i="3"/>
  <c r="I104" i="3" a="1"/>
  <c r="I104" i="3" s="1"/>
  <c r="H148" i="3"/>
  <c r="I148" i="3" a="1"/>
  <c r="I148" i="3" s="1"/>
  <c r="I82" i="3" a="1"/>
  <c r="I82" i="3" s="1"/>
  <c r="H159" i="3"/>
  <c r="I159" i="3" a="1"/>
  <c r="I159" i="3" s="1"/>
  <c r="H158" i="3"/>
  <c r="I158" i="3" a="1"/>
  <c r="I158" i="3" s="1"/>
  <c r="H122" i="3"/>
  <c r="I122" i="3" a="1"/>
  <c r="I122" i="3" s="1"/>
  <c r="H132" i="3"/>
  <c r="I132" i="3" a="1"/>
  <c r="I132" i="3" s="1"/>
  <c r="H145" i="3"/>
  <c r="I145" i="3" a="1"/>
  <c r="I145" i="3" s="1"/>
  <c r="H143" i="3"/>
  <c r="I143" i="3" a="1"/>
  <c r="I143" i="3" s="1"/>
  <c r="H92" i="3"/>
  <c r="I92" i="3" a="1"/>
  <c r="I92" i="3" s="1"/>
  <c r="H137" i="3"/>
  <c r="I137" i="3" a="1"/>
  <c r="I137" i="3" s="1"/>
  <c r="H116" i="3"/>
  <c r="I116" i="3" a="1"/>
  <c r="I116" i="3" s="1"/>
  <c r="H129" i="3"/>
  <c r="I129" i="3" a="1"/>
  <c r="I129" i="3" s="1"/>
  <c r="H127" i="3"/>
  <c r="I127" i="3" a="1"/>
  <c r="I127" i="3" s="1"/>
  <c r="H109" i="3"/>
  <c r="I109" i="3" a="1"/>
  <c r="I109" i="3" s="1"/>
  <c r="H89" i="3"/>
  <c r="I89" i="3" a="1"/>
  <c r="I89" i="3" s="1"/>
  <c r="H100" i="3"/>
  <c r="I100" i="3" a="1"/>
  <c r="I100" i="3" s="1"/>
  <c r="H113" i="3"/>
  <c r="I113" i="3" a="1"/>
  <c r="I113" i="3" s="1"/>
  <c r="H111" i="3"/>
  <c r="I111" i="3" a="1"/>
  <c r="I111" i="3" s="1"/>
  <c r="H108" i="3"/>
  <c r="I108" i="3" a="1"/>
  <c r="I108" i="3" s="1"/>
  <c r="H136" i="3"/>
  <c r="I136" i="3" a="1"/>
  <c r="I136" i="3" s="1"/>
  <c r="H147" i="3"/>
  <c r="I147" i="3" a="1"/>
  <c r="I147" i="3" s="1"/>
  <c r="H97" i="3"/>
  <c r="I97" i="3" a="1"/>
  <c r="I97" i="3" s="1"/>
  <c r="H95" i="3"/>
  <c r="I95" i="3" a="1"/>
  <c r="I95" i="3" s="1"/>
  <c r="H140" i="3"/>
  <c r="I140" i="3" a="1"/>
  <c r="I140" i="3" s="1"/>
  <c r="H94" i="3"/>
  <c r="I94" i="3" a="1"/>
  <c r="I94" i="3" s="1"/>
  <c r="H150" i="3"/>
  <c r="I150" i="3" a="1"/>
  <c r="I150" i="3" s="1"/>
  <c r="H131" i="3"/>
  <c r="I131" i="3" a="1"/>
  <c r="I131" i="3" s="1"/>
  <c r="I81" i="3" a="1"/>
  <c r="I81" i="3" s="1"/>
  <c r="I79" i="3" a="1"/>
  <c r="I79" i="3" s="1"/>
  <c r="F4" i="3" a="1"/>
  <c r="F4" i="3" s="1"/>
  <c r="E90" i="3" a="1"/>
  <c r="E90" i="3" s="1"/>
  <c r="F90" i="3" a="1"/>
  <c r="F90" i="3" s="1"/>
  <c r="G90" i="3" s="1"/>
  <c r="E32" i="3" a="1"/>
  <c r="E32" i="3" s="1"/>
  <c r="B32" i="4" s="1" a="1"/>
  <c r="B32" i="4" s="1"/>
  <c r="F32" i="3" a="1"/>
  <c r="F32" i="3" s="1"/>
  <c r="E75" i="3" a="1"/>
  <c r="E75" i="3" s="1"/>
  <c r="B75" i="4" s="1" a="1"/>
  <c r="B75" i="4" s="1"/>
  <c r="F75" i="3" a="1"/>
  <c r="F75" i="3" s="1"/>
  <c r="E41" i="3" a="1"/>
  <c r="E41" i="3" s="1"/>
  <c r="B41" i="4" s="1" a="1"/>
  <c r="B41" i="4" s="1"/>
  <c r="F41" i="3" a="1"/>
  <c r="F41" i="3" s="1"/>
  <c r="E23" i="3" a="1"/>
  <c r="E23" i="3" s="1"/>
  <c r="B23" i="4" s="1" a="1"/>
  <c r="B23" i="4" s="1"/>
  <c r="F23" i="3" a="1"/>
  <c r="F23" i="3" s="1"/>
  <c r="E124" i="3" a="1"/>
  <c r="E124" i="3" s="1"/>
  <c r="F124" i="3" a="1"/>
  <c r="F124" i="3" s="1"/>
  <c r="G124" i="3" s="1"/>
  <c r="E155" i="3" a="1"/>
  <c r="E155" i="3" s="1"/>
  <c r="F155" i="3" a="1"/>
  <c r="F155" i="3" s="1"/>
  <c r="G155" i="3" s="1"/>
  <c r="E118" i="3" a="1"/>
  <c r="E118" i="3" s="1"/>
  <c r="F118" i="3" a="1"/>
  <c r="F118" i="3" s="1"/>
  <c r="G118" i="3" s="1"/>
  <c r="E99" i="3" a="1"/>
  <c r="E99" i="3" s="1"/>
  <c r="F99" i="3" a="1"/>
  <c r="F99" i="3" s="1"/>
  <c r="G99" i="3" s="1"/>
  <c r="E153" i="3" a="1"/>
  <c r="E153" i="3" s="1"/>
  <c r="F153" i="3" a="1"/>
  <c r="F153" i="3" s="1"/>
  <c r="G153" i="3" s="1"/>
  <c r="E156" i="3" a="1"/>
  <c r="E156" i="3" s="1"/>
  <c r="F156" i="3" a="1"/>
  <c r="F156" i="3" s="1"/>
  <c r="G156" i="3" s="1"/>
  <c r="E47" i="3" a="1"/>
  <c r="E47" i="3" s="1"/>
  <c r="B47" i="4" s="1" a="1"/>
  <c r="B47" i="4" s="1"/>
  <c r="F47" i="3" a="1"/>
  <c r="F47" i="3" s="1"/>
  <c r="E59" i="3" a="1"/>
  <c r="E59" i="3" s="1"/>
  <c r="B59" i="4" s="1" a="1"/>
  <c r="B59" i="4" s="1"/>
  <c r="F59" i="3" a="1"/>
  <c r="F59" i="3" s="1"/>
  <c r="E25" i="3" a="1"/>
  <c r="E25" i="3" s="1"/>
  <c r="B25" i="4" s="1" a="1"/>
  <c r="B25" i="4" s="1"/>
  <c r="F25" i="3" a="1"/>
  <c r="F25" i="3" s="1"/>
  <c r="E69" i="3" a="1"/>
  <c r="E69" i="3" s="1"/>
  <c r="B69" i="4" s="1" a="1"/>
  <c r="B69" i="4" s="1"/>
  <c r="F69" i="3" a="1"/>
  <c r="F69" i="3" s="1"/>
  <c r="E141" i="3" a="1"/>
  <c r="E141" i="3" s="1"/>
  <c r="F141" i="3" a="1"/>
  <c r="F141" i="3" s="1"/>
  <c r="G141" i="3" s="1"/>
  <c r="E91" i="3" a="1"/>
  <c r="E91" i="3" s="1"/>
  <c r="F91" i="3" a="1"/>
  <c r="F91" i="3" s="1"/>
  <c r="G91" i="3" s="1"/>
  <c r="E102" i="3" a="1"/>
  <c r="E102" i="3" s="1"/>
  <c r="F102" i="3" a="1"/>
  <c r="F102" i="3" s="1"/>
  <c r="G102" i="3" s="1"/>
  <c r="E83" i="3" a="1"/>
  <c r="E83" i="3" s="1"/>
  <c r="F83" i="3" a="1"/>
  <c r="F83" i="3" s="1"/>
  <c r="E120" i="3" a="1"/>
  <c r="E120" i="3" s="1"/>
  <c r="F120" i="3" a="1"/>
  <c r="F120" i="3" s="1"/>
  <c r="G120" i="3" s="1"/>
  <c r="E77" i="3" a="1"/>
  <c r="E77" i="3" s="1"/>
  <c r="B77" i="4" s="1" a="1"/>
  <c r="B77" i="4" s="1"/>
  <c r="F77" i="3" a="1"/>
  <c r="F77" i="3" s="1"/>
  <c r="E43" i="3" a="1"/>
  <c r="E43" i="3" s="1"/>
  <c r="B43" i="4" s="1" a="1"/>
  <c r="B43" i="4" s="1"/>
  <c r="F43" i="3" a="1"/>
  <c r="F43" i="3" s="1"/>
  <c r="E9" i="3" a="1"/>
  <c r="E9" i="3" s="1"/>
  <c r="B9" i="4" s="1" a="1"/>
  <c r="B9" i="4" s="1"/>
  <c r="F9" i="3" a="1"/>
  <c r="F9" i="3" s="1"/>
  <c r="E53" i="3" a="1"/>
  <c r="E53" i="3" s="1"/>
  <c r="B53" i="4" s="1" a="1"/>
  <c r="B53" i="4" s="1"/>
  <c r="F53" i="3" a="1"/>
  <c r="F53" i="3" s="1"/>
  <c r="E139" i="3" a="1"/>
  <c r="E139" i="3" s="1"/>
  <c r="F139" i="3" a="1"/>
  <c r="F139" i="3" s="1"/>
  <c r="G139" i="3" s="1"/>
  <c r="E151" i="3" a="1"/>
  <c r="E151" i="3" s="1"/>
  <c r="F151" i="3" a="1"/>
  <c r="F151" i="3" s="1"/>
  <c r="G151" i="3" s="1"/>
  <c r="E86" i="3" a="1"/>
  <c r="E86" i="3" s="1"/>
  <c r="F86" i="3" a="1"/>
  <c r="F86" i="3" s="1"/>
  <c r="G86" i="3" s="1"/>
  <c r="E138" i="3" a="1"/>
  <c r="E138" i="3" s="1"/>
  <c r="F138" i="3" a="1"/>
  <c r="F138" i="3" s="1"/>
  <c r="G138" i="3" s="1"/>
  <c r="E144" i="3" a="1"/>
  <c r="E144" i="3" s="1"/>
  <c r="F144" i="3" a="1"/>
  <c r="F144" i="3" s="1"/>
  <c r="G144" i="3" s="1"/>
  <c r="E56" i="3" a="1"/>
  <c r="E56" i="3" s="1"/>
  <c r="B56" i="4" s="1" a="1"/>
  <c r="B56" i="4" s="1"/>
  <c r="F56" i="3" a="1"/>
  <c r="F56" i="3" s="1"/>
  <c r="E66" i="3" a="1"/>
  <c r="E66" i="3" s="1"/>
  <c r="B66" i="4" s="1" a="1"/>
  <c r="B66" i="4" s="1"/>
  <c r="F66" i="3" a="1"/>
  <c r="F66" i="3" s="1"/>
  <c r="E61" i="3" a="1"/>
  <c r="E61" i="3" s="1"/>
  <c r="B61" i="4" s="1" a="1"/>
  <c r="B61" i="4" s="1"/>
  <c r="F61" i="3" a="1"/>
  <c r="F61" i="3" s="1"/>
  <c r="E27" i="3" a="1"/>
  <c r="E27" i="3" s="1"/>
  <c r="B27" i="4" s="1" a="1"/>
  <c r="B27" i="4" s="1"/>
  <c r="F27" i="3" a="1"/>
  <c r="F27" i="3" s="1"/>
  <c r="E72" i="3" a="1"/>
  <c r="E72" i="3" s="1"/>
  <c r="B72" i="4" s="1" a="1"/>
  <c r="B72" i="4" s="1"/>
  <c r="F72" i="3" a="1"/>
  <c r="F72" i="3" s="1"/>
  <c r="E37" i="3" a="1"/>
  <c r="E37" i="3" s="1"/>
  <c r="B37" i="4" s="1" a="1"/>
  <c r="B37" i="4" s="1"/>
  <c r="F37" i="3" a="1"/>
  <c r="F37" i="3" s="1"/>
  <c r="E110" i="3" a="1"/>
  <c r="E110" i="3" s="1"/>
  <c r="F110" i="3" a="1"/>
  <c r="F110" i="3" s="1"/>
  <c r="G110" i="3" s="1"/>
  <c r="E135" i="3" a="1"/>
  <c r="E135" i="3" s="1"/>
  <c r="F135" i="3" a="1"/>
  <c r="F135" i="3" s="1"/>
  <c r="G135" i="3" s="1"/>
  <c r="E149" i="3" a="1"/>
  <c r="E149" i="3" s="1"/>
  <c r="F149" i="3" a="1"/>
  <c r="F149" i="3" s="1"/>
  <c r="G149" i="3" s="1"/>
  <c r="E88" i="3" a="1"/>
  <c r="E88" i="3" s="1"/>
  <c r="F88" i="3" a="1"/>
  <c r="F88" i="3" s="1"/>
  <c r="G88" i="3" s="1"/>
  <c r="E128" i="3" a="1"/>
  <c r="E128" i="3" s="1"/>
  <c r="F128" i="3" a="1"/>
  <c r="F128" i="3" s="1"/>
  <c r="G128" i="3" s="1"/>
  <c r="E57" i="3" a="1"/>
  <c r="E57" i="3" s="1"/>
  <c r="B57" i="4" s="1" a="1"/>
  <c r="B57" i="4" s="1"/>
  <c r="F57" i="3" a="1"/>
  <c r="F57" i="3" s="1"/>
  <c r="E16" i="3" a="1"/>
  <c r="E16" i="3" s="1"/>
  <c r="B16" i="4" s="1" a="1"/>
  <c r="B16" i="4" s="1"/>
  <c r="F16" i="3" a="1"/>
  <c r="F16" i="3" s="1"/>
  <c r="E45" i="3" a="1"/>
  <c r="E45" i="3" s="1"/>
  <c r="B45" i="4" s="1" a="1"/>
  <c r="B45" i="4" s="1"/>
  <c r="F45" i="3" a="1"/>
  <c r="F45" i="3" s="1"/>
  <c r="E11" i="3" a="1"/>
  <c r="E11" i="3" s="1"/>
  <c r="B11" i="4" s="1" a="1"/>
  <c r="B11" i="4" s="1"/>
  <c r="F11" i="3" a="1"/>
  <c r="F11" i="3" s="1"/>
  <c r="E40" i="3" a="1"/>
  <c r="E40" i="3" s="1"/>
  <c r="B40" i="4" s="1" a="1"/>
  <c r="B40" i="4" s="1"/>
  <c r="F40" i="3" a="1"/>
  <c r="F40" i="3" s="1"/>
  <c r="E21" i="3" a="1"/>
  <c r="E21" i="3" s="1"/>
  <c r="B21" i="4" s="1" a="1"/>
  <c r="B21" i="4" s="1"/>
  <c r="F21" i="3" a="1"/>
  <c r="F21" i="3" s="1"/>
  <c r="E157" i="3" a="1"/>
  <c r="E157" i="3" s="1"/>
  <c r="F157" i="3" a="1"/>
  <c r="F157" i="3" s="1"/>
  <c r="G157" i="3" s="1"/>
  <c r="E119" i="3" a="1"/>
  <c r="E119" i="3" s="1"/>
  <c r="F119" i="3" a="1"/>
  <c r="F119" i="3" s="1"/>
  <c r="G119" i="3" s="1"/>
  <c r="E133" i="3" a="1"/>
  <c r="E133" i="3" s="1"/>
  <c r="F133" i="3" a="1"/>
  <c r="F133" i="3" s="1"/>
  <c r="G133" i="3" s="1"/>
  <c r="E84" i="3" a="1"/>
  <c r="E84" i="3" s="1"/>
  <c r="F84" i="3" a="1"/>
  <c r="F84" i="3" s="1"/>
  <c r="G84" i="3" s="1"/>
  <c r="E112" i="3" a="1"/>
  <c r="E112" i="3" s="1"/>
  <c r="F112" i="3" a="1"/>
  <c r="F112" i="3" s="1"/>
  <c r="G112" i="3" s="1"/>
  <c r="E31" i="3" a="1"/>
  <c r="E31" i="3" s="1"/>
  <c r="B31" i="4" s="1" a="1"/>
  <c r="B31" i="4" s="1"/>
  <c r="F31" i="3" a="1"/>
  <c r="F31" i="3" s="1"/>
  <c r="E67" i="3" a="1"/>
  <c r="E67" i="3" s="1"/>
  <c r="B67" i="4" s="1" a="1"/>
  <c r="B67" i="4" s="1"/>
  <c r="F67" i="3" a="1"/>
  <c r="F67" i="3" s="1"/>
  <c r="E29" i="3" a="1"/>
  <c r="E29" i="3" s="1"/>
  <c r="B29" i="4" s="1" a="1"/>
  <c r="B29" i="4" s="1"/>
  <c r="F29" i="3" a="1"/>
  <c r="F29" i="3" s="1"/>
  <c r="E65" i="3" a="1"/>
  <c r="E65" i="3" s="1"/>
  <c r="B65" i="4" s="1" a="1"/>
  <c r="B65" i="4" s="1"/>
  <c r="F65" i="3" a="1"/>
  <c r="F65" i="3" s="1"/>
  <c r="E24" i="3" a="1"/>
  <c r="E24" i="3" s="1"/>
  <c r="B24" i="4" s="1" a="1"/>
  <c r="B24" i="4" s="1"/>
  <c r="F24" i="3" a="1"/>
  <c r="F24" i="3" s="1"/>
  <c r="E5" i="3" a="1"/>
  <c r="E5" i="3" s="1"/>
  <c r="B5" i="4" s="1" a="1"/>
  <c r="B5" i="4" s="1"/>
  <c r="F5" i="3" a="1"/>
  <c r="F5" i="3" s="1"/>
  <c r="E93" i="3" a="1"/>
  <c r="E93" i="3" s="1"/>
  <c r="F93" i="3" a="1"/>
  <c r="F93" i="3" s="1"/>
  <c r="G93" i="3" s="1"/>
  <c r="E103" i="3" a="1"/>
  <c r="E103" i="3" s="1"/>
  <c r="F103" i="3" a="1"/>
  <c r="F103" i="3" s="1"/>
  <c r="G103" i="3" s="1"/>
  <c r="E117" i="3" a="1"/>
  <c r="E117" i="3" s="1"/>
  <c r="F117" i="3" a="1"/>
  <c r="F117" i="3" s="1"/>
  <c r="G117" i="3" s="1"/>
  <c r="E146" i="3" a="1"/>
  <c r="E146" i="3" s="1"/>
  <c r="F146" i="3" a="1"/>
  <c r="F146" i="3" s="1"/>
  <c r="G146" i="3" s="1"/>
  <c r="E96" i="3" a="1"/>
  <c r="E96" i="3" s="1"/>
  <c r="F96" i="3" a="1"/>
  <c r="F96" i="3" s="1"/>
  <c r="G96" i="3" s="1"/>
  <c r="E64" i="3" a="1"/>
  <c r="E64" i="3" s="1"/>
  <c r="B64" i="4" s="1" a="1"/>
  <c r="B64" i="4" s="1"/>
  <c r="F64" i="3" a="1"/>
  <c r="F64" i="3" s="1"/>
  <c r="E17" i="3" a="1"/>
  <c r="E17" i="3" s="1"/>
  <c r="B17" i="4" s="1" a="1"/>
  <c r="B17" i="4" s="1"/>
  <c r="F17" i="3" a="1"/>
  <c r="F17" i="3" s="1"/>
  <c r="E13" i="3" a="1"/>
  <c r="E13" i="3" s="1"/>
  <c r="B13" i="4" s="1" a="1"/>
  <c r="B13" i="4" s="1"/>
  <c r="F13" i="3" a="1"/>
  <c r="F13" i="3" s="1"/>
  <c r="E48" i="3" a="1"/>
  <c r="E48" i="3" s="1"/>
  <c r="B48" i="4" s="1" a="1"/>
  <c r="B48" i="4" s="1"/>
  <c r="F48" i="3" a="1"/>
  <c r="F48" i="3" s="1"/>
  <c r="E8" i="3" a="1"/>
  <c r="E8" i="3" s="1"/>
  <c r="B8" i="4" s="1" a="1"/>
  <c r="B8" i="4" s="1"/>
  <c r="F8" i="3" a="1"/>
  <c r="F8" i="3" s="1"/>
  <c r="E71" i="3" a="1"/>
  <c r="E71" i="3" s="1"/>
  <c r="B71" i="4" s="1" a="1"/>
  <c r="B71" i="4" s="1"/>
  <c r="F71" i="3" a="1"/>
  <c r="F71" i="3" s="1"/>
  <c r="E142" i="3" a="1"/>
  <c r="E142" i="3" s="1"/>
  <c r="F142" i="3" a="1"/>
  <c r="F142" i="3" s="1"/>
  <c r="G142" i="3" s="1"/>
  <c r="E87" i="3" a="1"/>
  <c r="E87" i="3" s="1"/>
  <c r="F87" i="3" a="1"/>
  <c r="F87" i="3" s="1"/>
  <c r="G87" i="3" s="1"/>
  <c r="E101" i="3" a="1"/>
  <c r="E101" i="3" s="1"/>
  <c r="F101" i="3" a="1"/>
  <c r="F101" i="3" s="1"/>
  <c r="G101" i="3" s="1"/>
  <c r="E130" i="3" a="1"/>
  <c r="E130" i="3" s="1"/>
  <c r="F130" i="3" a="1"/>
  <c r="F130" i="3" s="1"/>
  <c r="G130" i="3" s="1"/>
  <c r="E80" i="3" a="1"/>
  <c r="E80" i="3" s="1"/>
  <c r="F80" i="3" a="1"/>
  <c r="F80" i="3" s="1"/>
  <c r="E18" i="3" a="1"/>
  <c r="E18" i="3" s="1"/>
  <c r="B18" i="4" s="1" a="1"/>
  <c r="B18" i="4" s="1"/>
  <c r="F18" i="3" a="1"/>
  <c r="F18" i="3" s="1"/>
  <c r="E51" i="3" a="1"/>
  <c r="E51" i="3" s="1"/>
  <c r="B51" i="4" s="1" a="1"/>
  <c r="B51" i="4" s="1"/>
  <c r="F51" i="3" a="1"/>
  <c r="F51" i="3" s="1"/>
  <c r="E63" i="3" a="1"/>
  <c r="E63" i="3" s="1"/>
  <c r="B63" i="4" s="1" a="1"/>
  <c r="B63" i="4" s="1"/>
  <c r="F63" i="3" a="1"/>
  <c r="F63" i="3" s="1"/>
  <c r="E34" i="3" a="1"/>
  <c r="E34" i="3" s="1"/>
  <c r="B34" i="4" s="1" a="1"/>
  <c r="B34" i="4" s="1"/>
  <c r="F34" i="3" a="1"/>
  <c r="F34" i="3" s="1"/>
  <c r="E55" i="3" a="1"/>
  <c r="E55" i="3" s="1"/>
  <c r="B55" i="4" s="1" a="1"/>
  <c r="B55" i="4" s="1"/>
  <c r="F55" i="3" a="1"/>
  <c r="F55" i="3" s="1"/>
  <c r="E126" i="3" a="1"/>
  <c r="E126" i="3" s="1"/>
  <c r="F126" i="3" a="1"/>
  <c r="F126" i="3" s="1"/>
  <c r="G126" i="3" s="1"/>
  <c r="E154" i="3" a="1"/>
  <c r="E154" i="3" s="1"/>
  <c r="F154" i="3" a="1"/>
  <c r="F154" i="3" s="1"/>
  <c r="G154" i="3" s="1"/>
  <c r="E85" i="3" a="1"/>
  <c r="E85" i="3" s="1"/>
  <c r="F85" i="3" a="1"/>
  <c r="F85" i="3" s="1"/>
  <c r="G85" i="3" s="1"/>
  <c r="E114" i="3" a="1"/>
  <c r="E114" i="3" s="1"/>
  <c r="F114" i="3" a="1"/>
  <c r="F114" i="3" s="1"/>
  <c r="G114" i="3" s="1"/>
  <c r="E106" i="3" a="1"/>
  <c r="E106" i="3" s="1"/>
  <c r="F106" i="3" a="1"/>
  <c r="F106" i="3" s="1"/>
  <c r="G106" i="3" s="1"/>
  <c r="E134" i="3" a="1"/>
  <c r="E134" i="3" s="1"/>
  <c r="F134" i="3" a="1"/>
  <c r="F134" i="3" s="1"/>
  <c r="G134" i="3" s="1"/>
  <c r="E15" i="3" a="1"/>
  <c r="E15" i="3" s="1"/>
  <c r="B15" i="4" s="1" a="1"/>
  <c r="B15" i="4" s="1"/>
  <c r="F15" i="3" a="1"/>
  <c r="F15" i="3" s="1"/>
  <c r="E50" i="3" a="1"/>
  <c r="E50" i="3" s="1"/>
  <c r="B50" i="4" s="1" a="1"/>
  <c r="B50" i="4" s="1"/>
  <c r="F50" i="3" a="1"/>
  <c r="F50" i="3" s="1"/>
  <c r="E74" i="3" a="1"/>
  <c r="E74" i="3" s="1"/>
  <c r="B74" i="4" s="1" a="1"/>
  <c r="B74" i="4" s="1"/>
  <c r="F74" i="3" a="1"/>
  <c r="F74" i="3" s="1"/>
  <c r="E39" i="3" a="1"/>
  <c r="E39" i="3" s="1"/>
  <c r="B39" i="4" s="1" a="1"/>
  <c r="B39" i="4" s="1"/>
  <c r="F39" i="3" a="1"/>
  <c r="F39" i="3" s="1"/>
  <c r="E7" i="3" a="1"/>
  <c r="E7" i="3" s="1"/>
  <c r="B7" i="4" s="1" a="1"/>
  <c r="B7" i="4" s="1"/>
  <c r="F7" i="3" a="1"/>
  <c r="F7" i="3" s="1"/>
  <c r="E123" i="3" a="1"/>
  <c r="E123" i="3" s="1"/>
  <c r="F123" i="3" a="1"/>
  <c r="F123" i="3" s="1"/>
  <c r="G123" i="3" s="1"/>
  <c r="E105" i="3" a="1"/>
  <c r="E105" i="3" s="1"/>
  <c r="F105" i="3" a="1"/>
  <c r="F105" i="3" s="1"/>
  <c r="G105" i="3" s="1"/>
  <c r="E152" i="3" a="1"/>
  <c r="E152" i="3" s="1"/>
  <c r="F152" i="3" a="1"/>
  <c r="F152" i="3" s="1"/>
  <c r="G152" i="3" s="1"/>
  <c r="E98" i="3" a="1"/>
  <c r="E98" i="3" s="1"/>
  <c r="F98" i="3" a="1"/>
  <c r="F98" i="3" s="1"/>
  <c r="G98" i="3" s="1"/>
  <c r="E121" i="3" a="1"/>
  <c r="E121" i="3" s="1"/>
  <c r="F121" i="3" a="1"/>
  <c r="F121" i="3" s="1"/>
  <c r="G121" i="3" s="1"/>
  <c r="E125" i="3" a="1"/>
  <c r="E125" i="3" s="1"/>
  <c r="F125" i="3" a="1"/>
  <c r="F125" i="3" s="1"/>
  <c r="G125" i="3" s="1"/>
  <c r="E78" i="3" a="1"/>
  <c r="E78" i="3" s="1"/>
  <c r="B78" i="4" s="1" a="1"/>
  <c r="B78" i="4" s="1"/>
  <c r="F78" i="3" a="1"/>
  <c r="F78" i="3" s="1"/>
  <c r="E76" i="3" a="1"/>
  <c r="E76" i="3" s="1"/>
  <c r="B76" i="4" s="1" a="1"/>
  <c r="B76" i="4" s="1"/>
  <c r="F76" i="3" a="1"/>
  <c r="F76" i="3" s="1"/>
  <c r="E58" i="3" a="1"/>
  <c r="E58" i="3" s="1"/>
  <c r="B58" i="4" s="1" a="1"/>
  <c r="B58" i="4" s="1"/>
  <c r="F58" i="3" a="1"/>
  <c r="F58" i="3" s="1"/>
  <c r="E70" i="3" a="1"/>
  <c r="E70" i="3" s="1"/>
  <c r="B70" i="4" s="1" a="1"/>
  <c r="B70" i="4" s="1"/>
  <c r="F70" i="3" a="1"/>
  <c r="F70" i="3" s="1"/>
  <c r="E68" i="3" a="1"/>
  <c r="E68" i="3" s="1"/>
  <c r="B68" i="4" s="1" a="1"/>
  <c r="B68" i="4" s="1"/>
  <c r="F68" i="3" a="1"/>
  <c r="F68" i="3" s="1"/>
  <c r="E107" i="3" a="1"/>
  <c r="E107" i="3" s="1"/>
  <c r="F107" i="3" a="1"/>
  <c r="F107" i="3" s="1"/>
  <c r="G107" i="3" s="1"/>
  <c r="E104" i="3" a="1"/>
  <c r="E104" i="3" s="1"/>
  <c r="F104" i="3" a="1"/>
  <c r="F104" i="3" s="1"/>
  <c r="G104" i="3" s="1"/>
  <c r="E148" i="3" a="1"/>
  <c r="E148" i="3" s="1"/>
  <c r="F148" i="3" a="1"/>
  <c r="F148" i="3" s="1"/>
  <c r="G148" i="3" s="1"/>
  <c r="E82" i="3" a="1"/>
  <c r="E82" i="3" s="1"/>
  <c r="F82" i="3" a="1"/>
  <c r="F82" i="3" s="1"/>
  <c r="E159" i="3" a="1"/>
  <c r="E159" i="3" s="1"/>
  <c r="F159" i="3" a="1"/>
  <c r="F159" i="3" s="1"/>
  <c r="G159" i="3" s="1"/>
  <c r="E115" i="3" a="1"/>
  <c r="E115" i="3" s="1"/>
  <c r="F115" i="3" a="1"/>
  <c r="F115" i="3" s="1"/>
  <c r="G115" i="3" s="1"/>
  <c r="E62" i="3" a="1"/>
  <c r="E62" i="3" s="1"/>
  <c r="B62" i="4" s="1" a="1"/>
  <c r="B62" i="4" s="1"/>
  <c r="F62" i="3" a="1"/>
  <c r="F62" i="3" s="1"/>
  <c r="E60" i="3" a="1"/>
  <c r="E60" i="3" s="1"/>
  <c r="B60" i="4" s="1" a="1"/>
  <c r="B60" i="4" s="1"/>
  <c r="F60" i="3" a="1"/>
  <c r="F60" i="3" s="1"/>
  <c r="E42" i="3" a="1"/>
  <c r="E42" i="3" s="1"/>
  <c r="B42" i="4" s="1" a="1"/>
  <c r="B42" i="4" s="1"/>
  <c r="F42" i="3" a="1"/>
  <c r="F42" i="3" s="1"/>
  <c r="E54" i="3" a="1"/>
  <c r="E54" i="3" s="1"/>
  <c r="B54" i="4" s="1" a="1"/>
  <c r="B54" i="4" s="1"/>
  <c r="F54" i="3" a="1"/>
  <c r="F54" i="3" s="1"/>
  <c r="E52" i="3" a="1"/>
  <c r="E52" i="3" s="1"/>
  <c r="B52" i="4" s="1" a="1"/>
  <c r="B52" i="4" s="1"/>
  <c r="F52" i="3" a="1"/>
  <c r="F52" i="3" s="1"/>
  <c r="E158" i="3" a="1"/>
  <c r="E158" i="3" s="1"/>
  <c r="F158" i="3" a="1"/>
  <c r="F158" i="3" s="1"/>
  <c r="G158" i="3" s="1"/>
  <c r="E122" i="3" a="1"/>
  <c r="E122" i="3" s="1"/>
  <c r="F122" i="3" a="1"/>
  <c r="F122" i="3" s="1"/>
  <c r="G122" i="3" s="1"/>
  <c r="E132" i="3" a="1"/>
  <c r="E132" i="3" s="1"/>
  <c r="F132" i="3" a="1"/>
  <c r="F132" i="3" s="1"/>
  <c r="G132" i="3" s="1"/>
  <c r="E145" i="3" a="1"/>
  <c r="E145" i="3" s="1"/>
  <c r="F145" i="3" a="1"/>
  <c r="F145" i="3" s="1"/>
  <c r="G145" i="3" s="1"/>
  <c r="E143" i="3" a="1"/>
  <c r="E143" i="3" s="1"/>
  <c r="F143" i="3" a="1"/>
  <c r="F143" i="3" s="1"/>
  <c r="G143" i="3" s="1"/>
  <c r="E46" i="3" a="1"/>
  <c r="E46" i="3" s="1"/>
  <c r="B46" i="4" s="1" a="1"/>
  <c r="B46" i="4" s="1"/>
  <c r="F46" i="3" a="1"/>
  <c r="F46" i="3" s="1"/>
  <c r="E44" i="3" a="1"/>
  <c r="E44" i="3" s="1"/>
  <c r="B44" i="4" s="1" a="1"/>
  <c r="B44" i="4" s="1"/>
  <c r="F44" i="3" a="1"/>
  <c r="F44" i="3" s="1"/>
  <c r="E26" i="3" a="1"/>
  <c r="E26" i="3" s="1"/>
  <c r="B26" i="4" s="1" a="1"/>
  <c r="B26" i="4" s="1"/>
  <c r="F26" i="3" a="1"/>
  <c r="F26" i="3" s="1"/>
  <c r="E38" i="3" a="1"/>
  <c r="E38" i="3" s="1"/>
  <c r="B38" i="4" s="1" a="1"/>
  <c r="B38" i="4" s="1"/>
  <c r="F38" i="3" a="1"/>
  <c r="F38" i="3" s="1"/>
  <c r="E36" i="3" a="1"/>
  <c r="E36" i="3" s="1"/>
  <c r="B36" i="4" s="1" a="1"/>
  <c r="B36" i="4" s="1"/>
  <c r="F36" i="3" a="1"/>
  <c r="F36" i="3" s="1"/>
  <c r="E92" i="3" a="1"/>
  <c r="E92" i="3" s="1"/>
  <c r="F92" i="3" a="1"/>
  <c r="F92" i="3" s="1"/>
  <c r="G92" i="3" s="1"/>
  <c r="E137" i="3" a="1"/>
  <c r="E137" i="3" s="1"/>
  <c r="F137" i="3" a="1"/>
  <c r="F137" i="3" s="1"/>
  <c r="G137" i="3" s="1"/>
  <c r="E116" i="3" a="1"/>
  <c r="E116" i="3" s="1"/>
  <c r="F116" i="3" a="1"/>
  <c r="F116" i="3" s="1"/>
  <c r="G116" i="3" s="1"/>
  <c r="E129" i="3" a="1"/>
  <c r="E129" i="3" s="1"/>
  <c r="F129" i="3" a="1"/>
  <c r="F129" i="3" s="1"/>
  <c r="G129" i="3" s="1"/>
  <c r="E127" i="3" a="1"/>
  <c r="E127" i="3" s="1"/>
  <c r="F127" i="3" a="1"/>
  <c r="F127" i="3" s="1"/>
  <c r="G127" i="3" s="1"/>
  <c r="E30" i="3" a="1"/>
  <c r="E30" i="3" s="1"/>
  <c r="B30" i="4" s="1" a="1"/>
  <c r="B30" i="4" s="1"/>
  <c r="F30" i="3" a="1"/>
  <c r="F30" i="3" s="1"/>
  <c r="E28" i="3" a="1"/>
  <c r="E28" i="3" s="1"/>
  <c r="B28" i="4" s="1" a="1"/>
  <c r="B28" i="4" s="1"/>
  <c r="F28" i="3" a="1"/>
  <c r="F28" i="3" s="1"/>
  <c r="E10" i="3" a="1"/>
  <c r="E10" i="3" s="1"/>
  <c r="B10" i="4" s="1" a="1"/>
  <c r="B10" i="4" s="1"/>
  <c r="F10" i="3" a="1"/>
  <c r="F10" i="3" s="1"/>
  <c r="E22" i="3" a="1"/>
  <c r="E22" i="3" s="1"/>
  <c r="B22" i="4" s="1" a="1"/>
  <c r="B22" i="4" s="1"/>
  <c r="F22" i="3" a="1"/>
  <c r="F22" i="3" s="1"/>
  <c r="E20" i="3" a="1"/>
  <c r="E20" i="3" s="1"/>
  <c r="B20" i="4" s="1" a="1"/>
  <c r="B20" i="4" s="1"/>
  <c r="F20" i="3" a="1"/>
  <c r="F20" i="3" s="1"/>
  <c r="E109" i="3" a="1"/>
  <c r="E109" i="3" s="1"/>
  <c r="F109" i="3" a="1"/>
  <c r="F109" i="3" s="1"/>
  <c r="G109" i="3" s="1"/>
  <c r="E89" i="3" a="1"/>
  <c r="E89" i="3" s="1"/>
  <c r="F89" i="3" a="1"/>
  <c r="F89" i="3" s="1"/>
  <c r="G89" i="3" s="1"/>
  <c r="E100" i="3" a="1"/>
  <c r="E100" i="3" s="1"/>
  <c r="F100" i="3" a="1"/>
  <c r="F100" i="3" s="1"/>
  <c r="G100" i="3" s="1"/>
  <c r="E113" i="3" a="1"/>
  <c r="E113" i="3" s="1"/>
  <c r="F113" i="3" a="1"/>
  <c r="F113" i="3" s="1"/>
  <c r="G113" i="3" s="1"/>
  <c r="E111" i="3" a="1"/>
  <c r="E111" i="3" s="1"/>
  <c r="F111" i="3" a="1"/>
  <c r="F111" i="3" s="1"/>
  <c r="G111" i="3" s="1"/>
  <c r="E14" i="3" a="1"/>
  <c r="E14" i="3" s="1"/>
  <c r="B14" i="4" s="1" a="1"/>
  <c r="B14" i="4" s="1"/>
  <c r="F14" i="3" a="1"/>
  <c r="F14" i="3" s="1"/>
  <c r="E12" i="3" a="1"/>
  <c r="E12" i="3" s="1"/>
  <c r="B12" i="4" s="1" a="1"/>
  <c r="B12" i="4" s="1"/>
  <c r="F12" i="3" a="1"/>
  <c r="F12" i="3" s="1"/>
  <c r="E19" i="3" a="1"/>
  <c r="E19" i="3" s="1"/>
  <c r="B19" i="4" s="1" a="1"/>
  <c r="B19" i="4" s="1"/>
  <c r="F19" i="3" a="1"/>
  <c r="F19" i="3" s="1"/>
  <c r="E6" i="3" a="1"/>
  <c r="E6" i="3" s="1"/>
  <c r="B6" i="4" s="1" a="1"/>
  <c r="B6" i="4" s="1"/>
  <c r="F6" i="3" a="1"/>
  <c r="F6" i="3" s="1"/>
  <c r="E108" i="3" a="1"/>
  <c r="E108" i="3" s="1"/>
  <c r="F108" i="3" a="1"/>
  <c r="F108" i="3" s="1"/>
  <c r="G108" i="3" s="1"/>
  <c r="E136" i="3" a="1"/>
  <c r="E136" i="3" s="1"/>
  <c r="F136" i="3" a="1"/>
  <c r="F136" i="3" s="1"/>
  <c r="G136" i="3" s="1"/>
  <c r="E147" i="3" a="1"/>
  <c r="E147" i="3" s="1"/>
  <c r="F147" i="3" a="1"/>
  <c r="F147" i="3" s="1"/>
  <c r="G147" i="3" s="1"/>
  <c r="E97" i="3" a="1"/>
  <c r="E97" i="3" s="1"/>
  <c r="F97" i="3" a="1"/>
  <c r="F97" i="3" s="1"/>
  <c r="G97" i="3" s="1"/>
  <c r="E95" i="3" a="1"/>
  <c r="E95" i="3" s="1"/>
  <c r="F95" i="3" a="1"/>
  <c r="F95" i="3" s="1"/>
  <c r="G95" i="3" s="1"/>
  <c r="E33" i="3" a="1"/>
  <c r="E33" i="3" s="1"/>
  <c r="B33" i="4" s="1" a="1"/>
  <c r="B33" i="4" s="1"/>
  <c r="F33" i="3" a="1"/>
  <c r="F33" i="3" s="1"/>
  <c r="E49" i="3" a="1"/>
  <c r="E49" i="3" s="1"/>
  <c r="B49" i="4" s="1" a="1"/>
  <c r="B49" i="4" s="1"/>
  <c r="F49" i="3" a="1"/>
  <c r="F49" i="3" s="1"/>
  <c r="E73" i="3" a="1"/>
  <c r="E73" i="3" s="1"/>
  <c r="B73" i="4" s="1" a="1"/>
  <c r="B73" i="4" s="1"/>
  <c r="F73" i="3" a="1"/>
  <c r="F73" i="3" s="1"/>
  <c r="E35" i="3" a="1"/>
  <c r="E35" i="3" s="1"/>
  <c r="B35" i="4" s="1" a="1"/>
  <c r="B35" i="4" s="1"/>
  <c r="F35" i="3" a="1"/>
  <c r="F35" i="3" s="1"/>
  <c r="E140" i="3" a="1"/>
  <c r="E140" i="3" s="1"/>
  <c r="F140" i="3" a="1"/>
  <c r="F140" i="3" s="1"/>
  <c r="G140" i="3" s="1"/>
  <c r="E94" i="3" a="1"/>
  <c r="E94" i="3" s="1"/>
  <c r="F94" i="3" a="1"/>
  <c r="F94" i="3" s="1"/>
  <c r="G94" i="3" s="1"/>
  <c r="E150" i="3" a="1"/>
  <c r="E150" i="3" s="1"/>
  <c r="F150" i="3" a="1"/>
  <c r="F150" i="3" s="1"/>
  <c r="G150" i="3" s="1"/>
  <c r="E131" i="3" a="1"/>
  <c r="E131" i="3" s="1"/>
  <c r="F131" i="3" a="1"/>
  <c r="F131" i="3" s="1"/>
  <c r="G131" i="3" s="1"/>
  <c r="E81" i="3" a="1"/>
  <c r="E81" i="3" s="1"/>
  <c r="F81" i="3" a="1"/>
  <c r="F81" i="3" s="1"/>
  <c r="E79" i="3" a="1"/>
  <c r="E79" i="3" s="1"/>
  <c r="F79" i="3" a="1"/>
  <c r="F79" i="3" s="1"/>
  <c r="E4" i="3" a="1"/>
  <c r="E4" i="3" s="1"/>
  <c r="B4" i="4" s="1" a="1"/>
  <c r="B4" i="4" s="1"/>
  <c r="C125" i="3"/>
  <c r="B125" i="3"/>
  <c r="D125" i="3" s="1" a="1"/>
  <c r="D125" i="3" s="1"/>
  <c r="C156" i="3"/>
  <c r="B156" i="3"/>
  <c r="D156" i="3" s="1" a="1"/>
  <c r="D156" i="3" s="1"/>
  <c r="C134" i="3"/>
  <c r="B134" i="3"/>
  <c r="D134" i="3" s="1" a="1"/>
  <c r="D134" i="3" s="1"/>
  <c r="B115" i="3"/>
  <c r="D115" i="3" s="1" a="1"/>
  <c r="D115" i="3" s="1"/>
  <c r="C115" i="3"/>
  <c r="B90" i="3"/>
  <c r="D90" i="3" s="1" a="1"/>
  <c r="D90" i="3" s="1"/>
  <c r="C90" i="3"/>
  <c r="B124" i="3"/>
  <c r="D124" i="3" s="1" a="1"/>
  <c r="D124" i="3" s="1"/>
  <c r="C124" i="3"/>
  <c r="C155" i="3"/>
  <c r="B155" i="3"/>
  <c r="D155" i="3" s="1" a="1"/>
  <c r="D155" i="3" s="1"/>
  <c r="C118" i="3"/>
  <c r="B118" i="3"/>
  <c r="D118" i="3" s="1" a="1"/>
  <c r="D118" i="3" s="1"/>
  <c r="B99" i="3"/>
  <c r="D99" i="3" s="1" a="1"/>
  <c r="D99" i="3" s="1"/>
  <c r="C99" i="3"/>
  <c r="C153" i="3"/>
  <c r="B153" i="3"/>
  <c r="D153" i="3" s="1" a="1"/>
  <c r="D153" i="3" s="1"/>
  <c r="C141" i="3"/>
  <c r="B141" i="3"/>
  <c r="D141" i="3" s="1" a="1"/>
  <c r="D141" i="3" s="1"/>
  <c r="B91" i="3"/>
  <c r="D91" i="3" s="1" a="1"/>
  <c r="D91" i="3" s="1"/>
  <c r="C91" i="3"/>
  <c r="C102" i="3"/>
  <c r="B102" i="3"/>
  <c r="D102" i="3" s="1" a="1"/>
  <c r="D102" i="3" s="1"/>
  <c r="B83" i="3"/>
  <c r="D83" i="3" s="1" a="1"/>
  <c r="D83" i="3" s="1"/>
  <c r="B120" i="3"/>
  <c r="D120" i="3" s="1" a="1"/>
  <c r="D120" i="3" s="1"/>
  <c r="C120" i="3"/>
  <c r="C139" i="3"/>
  <c r="B139" i="3"/>
  <c r="D139" i="3" s="1" a="1"/>
  <c r="D139" i="3" s="1"/>
  <c r="B151" i="3"/>
  <c r="D151" i="3" s="1" a="1"/>
  <c r="D151" i="3" s="1"/>
  <c r="C151" i="3"/>
  <c r="C86" i="3"/>
  <c r="B86" i="3"/>
  <c r="D86" i="3" s="1" a="1"/>
  <c r="D86" i="3" s="1"/>
  <c r="B138" i="3"/>
  <c r="D138" i="3" s="1" a="1"/>
  <c r="D138" i="3" s="1"/>
  <c r="C138" i="3"/>
  <c r="B144" i="3"/>
  <c r="D144" i="3" s="1" a="1"/>
  <c r="D144" i="3" s="1"/>
  <c r="C144" i="3"/>
  <c r="B110" i="3"/>
  <c r="D110" i="3" s="1" a="1"/>
  <c r="D110" i="3" s="1"/>
  <c r="C110" i="3"/>
  <c r="B135" i="3"/>
  <c r="D135" i="3" s="1" a="1"/>
  <c r="D135" i="3" s="1"/>
  <c r="C135" i="3"/>
  <c r="B149" i="3"/>
  <c r="D149" i="3" s="1" a="1"/>
  <c r="D149" i="3" s="1"/>
  <c r="C149" i="3"/>
  <c r="B88" i="3"/>
  <c r="D88" i="3" s="1" a="1"/>
  <c r="D88" i="3" s="1"/>
  <c r="C88" i="3"/>
  <c r="B128" i="3"/>
  <c r="D128" i="3" s="1" a="1"/>
  <c r="D128" i="3" s="1"/>
  <c r="C128" i="3"/>
  <c r="C157" i="3"/>
  <c r="B157" i="3"/>
  <c r="D157" i="3" s="1" a="1"/>
  <c r="D157" i="3" s="1"/>
  <c r="C119" i="3"/>
  <c r="B119" i="3"/>
  <c r="D119" i="3" s="1" a="1"/>
  <c r="D119" i="3" s="1"/>
  <c r="B133" i="3"/>
  <c r="D133" i="3" s="1" a="1"/>
  <c r="D133" i="3" s="1"/>
  <c r="C133" i="3"/>
  <c r="B84" i="3"/>
  <c r="D84" i="3" s="1" a="1"/>
  <c r="D84" i="3" s="1"/>
  <c r="C84" i="3"/>
  <c r="B112" i="3"/>
  <c r="D112" i="3" s="1" a="1"/>
  <c r="D112" i="3" s="1"/>
  <c r="C112" i="3"/>
  <c r="C93" i="3"/>
  <c r="B93" i="3"/>
  <c r="D93" i="3" s="1" a="1"/>
  <c r="D93" i="3" s="1"/>
  <c r="C103" i="3"/>
  <c r="B103" i="3"/>
  <c r="D103" i="3" s="1" a="1"/>
  <c r="D103" i="3" s="1"/>
  <c r="B117" i="3"/>
  <c r="D117" i="3" s="1" a="1"/>
  <c r="D117" i="3" s="1"/>
  <c r="C117" i="3"/>
  <c r="C146" i="3"/>
  <c r="B146" i="3"/>
  <c r="D146" i="3" s="1" a="1"/>
  <c r="D146" i="3" s="1"/>
  <c r="B96" i="3"/>
  <c r="D96" i="3" s="1" a="1"/>
  <c r="D96" i="3" s="1"/>
  <c r="C96" i="3"/>
  <c r="B142" i="3"/>
  <c r="D142" i="3" s="1" a="1"/>
  <c r="D142" i="3" s="1"/>
  <c r="C142" i="3"/>
  <c r="B87" i="3"/>
  <c r="D87" i="3" s="1" a="1"/>
  <c r="D87" i="3" s="1"/>
  <c r="C87" i="3"/>
  <c r="B101" i="3"/>
  <c r="D101" i="3" s="1" a="1"/>
  <c r="D101" i="3" s="1"/>
  <c r="C101" i="3"/>
  <c r="B130" i="3"/>
  <c r="D130" i="3" s="1" a="1"/>
  <c r="D130" i="3" s="1"/>
  <c r="C130" i="3"/>
  <c r="B80" i="3"/>
  <c r="D80" i="3" s="1" a="1"/>
  <c r="D80" i="3" s="1"/>
  <c r="H80" i="3" s="1"/>
  <c r="B126" i="3"/>
  <c r="D126" i="3" s="1" a="1"/>
  <c r="D126" i="3" s="1"/>
  <c r="C126" i="3"/>
  <c r="C154" i="3"/>
  <c r="B154" i="3"/>
  <c r="D154" i="3" s="1" a="1"/>
  <c r="D154" i="3" s="1"/>
  <c r="B85" i="3"/>
  <c r="D85" i="3" s="1" a="1"/>
  <c r="D85" i="3" s="1"/>
  <c r="C85" i="3"/>
  <c r="B114" i="3"/>
  <c r="D114" i="3" s="1" a="1"/>
  <c r="D114" i="3" s="1"/>
  <c r="C114" i="3"/>
  <c r="C106" i="3"/>
  <c r="B106" i="3"/>
  <c r="D106" i="3" s="1" a="1"/>
  <c r="D106" i="3" s="1"/>
  <c r="C123" i="3"/>
  <c r="B123" i="3"/>
  <c r="D123" i="3" s="1" a="1"/>
  <c r="D123" i="3" s="1"/>
  <c r="B105" i="3"/>
  <c r="D105" i="3" s="1" a="1"/>
  <c r="D105" i="3" s="1"/>
  <c r="C105" i="3"/>
  <c r="B152" i="3"/>
  <c r="D152" i="3" s="1" a="1"/>
  <c r="D152" i="3" s="1"/>
  <c r="C152" i="3"/>
  <c r="C98" i="3"/>
  <c r="B98" i="3"/>
  <c r="D98" i="3" s="1" a="1"/>
  <c r="D98" i="3" s="1"/>
  <c r="C121" i="3"/>
  <c r="B121" i="3"/>
  <c r="D121" i="3" s="1" a="1"/>
  <c r="D121" i="3" s="1"/>
  <c r="C107" i="3"/>
  <c r="B107" i="3"/>
  <c r="D107" i="3" s="1" a="1"/>
  <c r="D107" i="3" s="1"/>
  <c r="B104" i="3"/>
  <c r="D104" i="3" s="1" a="1"/>
  <c r="D104" i="3" s="1"/>
  <c r="C104" i="3"/>
  <c r="B148" i="3"/>
  <c r="D148" i="3" s="1" a="1"/>
  <c r="D148" i="3" s="1"/>
  <c r="C148" i="3"/>
  <c r="B82" i="3"/>
  <c r="D82" i="3" s="1" a="1"/>
  <c r="D82" i="3" s="1"/>
  <c r="B159" i="3"/>
  <c r="D159" i="3" s="1" a="1"/>
  <c r="D159" i="3" s="1"/>
  <c r="C159" i="3"/>
  <c r="B158" i="3"/>
  <c r="D158" i="3" s="1" a="1"/>
  <c r="D158" i="3" s="1"/>
  <c r="C158" i="3"/>
  <c r="C122" i="3"/>
  <c r="B122" i="3"/>
  <c r="D122" i="3" s="1" a="1"/>
  <c r="D122" i="3" s="1"/>
  <c r="B132" i="3"/>
  <c r="D132" i="3" s="1" a="1"/>
  <c r="D132" i="3" s="1"/>
  <c r="C132" i="3"/>
  <c r="B145" i="3"/>
  <c r="D145" i="3" s="1" a="1"/>
  <c r="D145" i="3" s="1"/>
  <c r="C145" i="3"/>
  <c r="B143" i="3"/>
  <c r="D143" i="3" s="1" a="1"/>
  <c r="D143" i="3" s="1"/>
  <c r="C143" i="3"/>
  <c r="C92" i="3"/>
  <c r="B92" i="3"/>
  <c r="D92" i="3" s="1" a="1"/>
  <c r="D92" i="3" s="1"/>
  <c r="C137" i="3"/>
  <c r="B137" i="3"/>
  <c r="D137" i="3" s="1" a="1"/>
  <c r="D137" i="3" s="1"/>
  <c r="B116" i="3"/>
  <c r="D116" i="3" s="1" a="1"/>
  <c r="D116" i="3" s="1"/>
  <c r="C116" i="3"/>
  <c r="B129" i="3"/>
  <c r="D129" i="3" s="1" a="1"/>
  <c r="D129" i="3" s="1"/>
  <c r="C129" i="3"/>
  <c r="B127" i="3"/>
  <c r="D127" i="3" s="1" a="1"/>
  <c r="D127" i="3" s="1"/>
  <c r="C127" i="3"/>
  <c r="C109" i="3"/>
  <c r="B109" i="3"/>
  <c r="D109" i="3" s="1" a="1"/>
  <c r="D109" i="3" s="1"/>
  <c r="B89" i="3"/>
  <c r="D89" i="3" s="1" a="1"/>
  <c r="D89" i="3" s="1"/>
  <c r="C89" i="3"/>
  <c r="B100" i="3"/>
  <c r="D100" i="3" s="1" a="1"/>
  <c r="D100" i="3" s="1"/>
  <c r="C100" i="3"/>
  <c r="B113" i="3"/>
  <c r="D113" i="3" s="1" a="1"/>
  <c r="D113" i="3" s="1"/>
  <c r="C113" i="3"/>
  <c r="B111" i="3"/>
  <c r="D111" i="3" s="1" a="1"/>
  <c r="D111" i="3" s="1"/>
  <c r="C111" i="3"/>
  <c r="C108" i="3"/>
  <c r="B108" i="3"/>
  <c r="D108" i="3" s="1" a="1"/>
  <c r="D108" i="3" s="1"/>
  <c r="B136" i="3"/>
  <c r="D136" i="3" s="1" a="1"/>
  <c r="D136" i="3" s="1"/>
  <c r="C136" i="3"/>
  <c r="B147" i="3"/>
  <c r="D147" i="3" s="1" a="1"/>
  <c r="D147" i="3" s="1"/>
  <c r="C147" i="3"/>
  <c r="B97" i="3"/>
  <c r="D97" i="3" s="1" a="1"/>
  <c r="D97" i="3" s="1"/>
  <c r="C97" i="3"/>
  <c r="B95" i="3"/>
  <c r="D95" i="3" s="1" a="1"/>
  <c r="D95" i="3" s="1"/>
  <c r="C95" i="3"/>
  <c r="B140" i="3"/>
  <c r="D140" i="3" s="1" a="1"/>
  <c r="D140" i="3" s="1"/>
  <c r="C140" i="3"/>
  <c r="B94" i="3"/>
  <c r="D94" i="3" s="1" a="1"/>
  <c r="D94" i="3" s="1"/>
  <c r="C94" i="3"/>
  <c r="C150" i="3"/>
  <c r="B150" i="3"/>
  <c r="D150" i="3" s="1" a="1"/>
  <c r="D150" i="3" s="1"/>
  <c r="B131" i="3"/>
  <c r="D131" i="3" s="1" a="1"/>
  <c r="D131" i="3" s="1"/>
  <c r="C131" i="3"/>
  <c r="B81" i="3"/>
  <c r="D81" i="3" s="1" a="1"/>
  <c r="D81" i="3" s="1"/>
  <c r="B79" i="3"/>
  <c r="D79" i="3" s="1" a="1"/>
  <c r="D79" i="3" s="1"/>
  <c r="B73" i="3"/>
  <c r="D73" i="3" s="1" a="1"/>
  <c r="D73" i="3" s="1"/>
  <c r="B35" i="3"/>
  <c r="D35" i="3" s="1" a="1"/>
  <c r="D35" i="3" s="1"/>
  <c r="B33" i="3"/>
  <c r="D33" i="3" s="1" a="1"/>
  <c r="D33" i="3" s="1"/>
  <c r="B64" i="3"/>
  <c r="D64" i="3" s="1" a="1"/>
  <c r="D64" i="3" s="1"/>
  <c r="B31" i="3"/>
  <c r="D31" i="3" s="1" a="1"/>
  <c r="D31" i="3" s="1"/>
  <c r="B57" i="3"/>
  <c r="D57" i="3" s="1" a="1"/>
  <c r="D57" i="3" s="1"/>
  <c r="B56" i="3"/>
  <c r="D56" i="3" s="1" a="1"/>
  <c r="D56" i="3" s="1"/>
  <c r="B49" i="3"/>
  <c r="D49" i="3" s="1" a="1"/>
  <c r="D49" i="3" s="1"/>
  <c r="B32" i="3"/>
  <c r="D32" i="3" s="1" a="1"/>
  <c r="D32" i="3" s="1"/>
  <c r="B75" i="3"/>
  <c r="D75" i="3" s="1" a="1"/>
  <c r="D75" i="3" s="1"/>
  <c r="B41" i="3"/>
  <c r="D41" i="3" s="1" a="1"/>
  <c r="D41" i="3" s="1"/>
  <c r="B23" i="3"/>
  <c r="D23" i="3" s="1" a="1"/>
  <c r="D23" i="3" s="1"/>
  <c r="B47" i="3"/>
  <c r="D47" i="3" s="1" a="1"/>
  <c r="D47" i="3" s="1"/>
  <c r="B59" i="3"/>
  <c r="D59" i="3" s="1" a="1"/>
  <c r="D59" i="3" s="1"/>
  <c r="B25" i="3"/>
  <c r="D25" i="3" s="1" a="1"/>
  <c r="D25" i="3" s="1"/>
  <c r="B69" i="3"/>
  <c r="D69" i="3" s="1" a="1"/>
  <c r="D69" i="3" s="1"/>
  <c r="B77" i="3"/>
  <c r="D77" i="3" s="1" a="1"/>
  <c r="D77" i="3" s="1"/>
  <c r="B43" i="3"/>
  <c r="D43" i="3" s="1" a="1"/>
  <c r="D43" i="3" s="1"/>
  <c r="B9" i="3"/>
  <c r="D9" i="3" s="1" a="1"/>
  <c r="D9" i="3" s="1"/>
  <c r="B53" i="3"/>
  <c r="D53" i="3" s="1" a="1"/>
  <c r="D53" i="3" s="1"/>
  <c r="B66" i="3"/>
  <c r="D66" i="3" s="1" a="1"/>
  <c r="D66" i="3" s="1"/>
  <c r="B61" i="3"/>
  <c r="D61" i="3" s="1" a="1"/>
  <c r="D61" i="3" s="1"/>
  <c r="B27" i="3"/>
  <c r="D27" i="3" s="1" a="1"/>
  <c r="D27" i="3" s="1"/>
  <c r="B72" i="3"/>
  <c r="D72" i="3" s="1" a="1"/>
  <c r="D72" i="3" s="1"/>
  <c r="B37" i="3"/>
  <c r="D37" i="3" s="1" a="1"/>
  <c r="D37" i="3" s="1"/>
  <c r="B16" i="3"/>
  <c r="D16" i="3" s="1" a="1"/>
  <c r="D16" i="3" s="1"/>
  <c r="B45" i="3"/>
  <c r="D45" i="3" s="1" a="1"/>
  <c r="D45" i="3" s="1"/>
  <c r="B11" i="3"/>
  <c r="D11" i="3" s="1" a="1"/>
  <c r="D11" i="3" s="1"/>
  <c r="B40" i="3"/>
  <c r="D40" i="3" s="1" a="1"/>
  <c r="D40" i="3" s="1"/>
  <c r="B21" i="3"/>
  <c r="D21" i="3" s="1" a="1"/>
  <c r="D21" i="3" s="1"/>
  <c r="B67" i="3"/>
  <c r="D67" i="3" s="1" a="1"/>
  <c r="D67" i="3" s="1"/>
  <c r="B29" i="3"/>
  <c r="D29" i="3" s="1" a="1"/>
  <c r="D29" i="3" s="1"/>
  <c r="B65" i="3"/>
  <c r="D65" i="3" s="1" a="1"/>
  <c r="D65" i="3" s="1"/>
  <c r="B24" i="3"/>
  <c r="D24" i="3" s="1" a="1"/>
  <c r="D24" i="3" s="1"/>
  <c r="B5" i="3"/>
  <c r="D5" i="3" s="1" a="1"/>
  <c r="D5" i="3" s="1"/>
  <c r="B17" i="3"/>
  <c r="D17" i="3" s="1" a="1"/>
  <c r="D17" i="3" s="1"/>
  <c r="B13" i="3"/>
  <c r="D13" i="3" s="1" a="1"/>
  <c r="D13" i="3" s="1"/>
  <c r="B48" i="3"/>
  <c r="D48" i="3" s="1" a="1"/>
  <c r="D48" i="3" s="1"/>
  <c r="B8" i="3"/>
  <c r="D8" i="3" s="1" a="1"/>
  <c r="D8" i="3" s="1"/>
  <c r="B71" i="3"/>
  <c r="D71" i="3" s="1" a="1"/>
  <c r="D71" i="3" s="1"/>
  <c r="B18" i="3"/>
  <c r="D18" i="3" s="1" a="1"/>
  <c r="D18" i="3" s="1"/>
  <c r="B51" i="3"/>
  <c r="D51" i="3" s="1" a="1"/>
  <c r="D51" i="3" s="1"/>
  <c r="B63" i="3"/>
  <c r="D63" i="3" s="1" a="1"/>
  <c r="D63" i="3" s="1"/>
  <c r="B34" i="3"/>
  <c r="D34" i="3" s="1" a="1"/>
  <c r="D34" i="3" s="1"/>
  <c r="B55" i="3"/>
  <c r="D55" i="3" s="1" a="1"/>
  <c r="D55" i="3" s="1"/>
  <c r="B15" i="3"/>
  <c r="D15" i="3" s="1" a="1"/>
  <c r="D15" i="3" s="1"/>
  <c r="B50" i="3"/>
  <c r="D50" i="3" s="1" a="1"/>
  <c r="D50" i="3" s="1"/>
  <c r="B74" i="3"/>
  <c r="D74" i="3" s="1" a="1"/>
  <c r="D74" i="3" s="1"/>
  <c r="B39" i="3"/>
  <c r="D39" i="3" s="1" a="1"/>
  <c r="D39" i="3" s="1"/>
  <c r="B7" i="3"/>
  <c r="D7" i="3" s="1" a="1"/>
  <c r="D7" i="3" s="1"/>
  <c r="B78" i="3"/>
  <c r="D78" i="3" s="1" a="1"/>
  <c r="D78" i="3" s="1"/>
  <c r="B76" i="3"/>
  <c r="D76" i="3" s="1" a="1"/>
  <c r="D76" i="3" s="1"/>
  <c r="B58" i="3"/>
  <c r="D58" i="3" s="1" a="1"/>
  <c r="D58" i="3" s="1"/>
  <c r="B70" i="3"/>
  <c r="D70" i="3" s="1" a="1"/>
  <c r="D70" i="3" s="1"/>
  <c r="B68" i="3"/>
  <c r="D68" i="3" s="1" a="1"/>
  <c r="D68" i="3" s="1"/>
  <c r="B62" i="3"/>
  <c r="D62" i="3" s="1" a="1"/>
  <c r="D62" i="3" s="1"/>
  <c r="B60" i="3"/>
  <c r="D60" i="3" s="1" a="1"/>
  <c r="D60" i="3" s="1"/>
  <c r="B42" i="3"/>
  <c r="D42" i="3" s="1" a="1"/>
  <c r="D42" i="3" s="1"/>
  <c r="B54" i="3"/>
  <c r="D54" i="3" s="1" a="1"/>
  <c r="D54" i="3" s="1"/>
  <c r="B52" i="3"/>
  <c r="D52" i="3" s="1" a="1"/>
  <c r="D52" i="3" s="1"/>
  <c r="B46" i="3"/>
  <c r="D46" i="3" s="1" a="1"/>
  <c r="D46" i="3" s="1"/>
  <c r="B44" i="3"/>
  <c r="D44" i="3" s="1" a="1"/>
  <c r="D44" i="3" s="1"/>
  <c r="B26" i="3"/>
  <c r="D26" i="3" s="1" a="1"/>
  <c r="D26" i="3" s="1"/>
  <c r="B38" i="3"/>
  <c r="D38" i="3" s="1" a="1"/>
  <c r="D38" i="3" s="1"/>
  <c r="B36" i="3"/>
  <c r="D36" i="3" s="1" a="1"/>
  <c r="D36" i="3" s="1"/>
  <c r="B30" i="3"/>
  <c r="D30" i="3" s="1" a="1"/>
  <c r="D30" i="3" s="1"/>
  <c r="B28" i="3"/>
  <c r="D28" i="3" s="1" a="1"/>
  <c r="D28" i="3" s="1"/>
  <c r="B10" i="3"/>
  <c r="D10" i="3" s="1" a="1"/>
  <c r="D10" i="3" s="1"/>
  <c r="B22" i="3"/>
  <c r="D22" i="3" s="1" a="1"/>
  <c r="D22" i="3" s="1"/>
  <c r="B20" i="3"/>
  <c r="D20" i="3" s="1" a="1"/>
  <c r="D20" i="3" s="1"/>
  <c r="B14" i="3"/>
  <c r="D14" i="3" s="1" a="1"/>
  <c r="D14" i="3" s="1"/>
  <c r="B12" i="3"/>
  <c r="D12" i="3" s="1" a="1"/>
  <c r="D12" i="3" s="1"/>
  <c r="B19" i="3"/>
  <c r="D19" i="3" s="1" a="1"/>
  <c r="D19" i="3" s="1"/>
  <c r="B6" i="3"/>
  <c r="D6" i="3" s="1" a="1"/>
  <c r="D6" i="3" s="1"/>
  <c r="B4" i="3"/>
  <c r="D4" i="3" s="1" a="1"/>
  <c r="D4" i="3" s="1"/>
  <c r="C80" i="3" l="1"/>
  <c r="H83" i="3"/>
  <c r="H81" i="3"/>
  <c r="H82" i="3"/>
  <c r="G79" i="3"/>
  <c r="H79" i="3"/>
  <c r="G81" i="3"/>
  <c r="G80" i="3"/>
  <c r="G82" i="3"/>
  <c r="C79" i="3"/>
  <c r="G83" i="3"/>
  <c r="C81" i="3"/>
  <c r="C82" i="3"/>
  <c r="C83" i="3"/>
  <c r="G4" i="3"/>
  <c r="C4" i="4" s="1" a="1"/>
  <c r="C4" i="4" s="1"/>
  <c r="H8" i="3"/>
  <c r="F8" i="4" s="1" a="1"/>
  <c r="F8" i="4" s="1"/>
  <c r="H30" i="3"/>
  <c r="F30" i="4" s="1" a="1"/>
  <c r="F30" i="4" s="1"/>
  <c r="H75" i="3"/>
  <c r="F75" i="4" s="1" a="1"/>
  <c r="F75" i="4" s="1"/>
  <c r="H7" i="3"/>
  <c r="F7" i="4" s="1" a="1"/>
  <c r="F7" i="4" s="1"/>
  <c r="H37" i="3"/>
  <c r="F37" i="4" s="1" a="1"/>
  <c r="F37" i="4" s="1"/>
  <c r="H11" i="3"/>
  <c r="F11" i="4" s="1" a="1"/>
  <c r="F11" i="4" s="1"/>
  <c r="H71" i="3"/>
  <c r="F71" i="4" s="1" a="1"/>
  <c r="F71" i="4" s="1"/>
  <c r="H72" i="3"/>
  <c r="F72" i="4" s="1" a="1"/>
  <c r="F72" i="4" s="1"/>
  <c r="H48" i="3"/>
  <c r="F48" i="4" s="1" a="1"/>
  <c r="F48" i="4" s="1"/>
  <c r="H22" i="3"/>
  <c r="F22" i="4" s="1" a="1"/>
  <c r="F22" i="4" s="1"/>
  <c r="H58" i="3"/>
  <c r="F58" i="4" s="1" a="1"/>
  <c r="F58" i="4" s="1"/>
  <c r="H14" i="3"/>
  <c r="F14" i="4" s="1" a="1"/>
  <c r="F14" i="4" s="1"/>
  <c r="H10" i="3"/>
  <c r="F10" i="4" s="1" a="1"/>
  <c r="F10" i="4" s="1"/>
  <c r="H13" i="3"/>
  <c r="F13" i="4" s="1" a="1"/>
  <c r="F13" i="4" s="1"/>
  <c r="H5" i="3"/>
  <c r="F5" i="4" s="1" a="1"/>
  <c r="F5" i="4" s="1"/>
  <c r="H27" i="3"/>
  <c r="F27" i="4" s="1" a="1"/>
  <c r="F27" i="4" s="1"/>
  <c r="H45" i="3"/>
  <c r="F45" i="4" s="1" a="1"/>
  <c r="F45" i="4" s="1"/>
  <c r="H41" i="3"/>
  <c r="F41" i="4" s="1" a="1"/>
  <c r="F41" i="4" s="1"/>
  <c r="H16" i="3"/>
  <c r="F16" i="4" s="1" a="1"/>
  <c r="F16" i="4" s="1"/>
  <c r="H33" i="3"/>
  <c r="F33" i="4" s="1" a="1"/>
  <c r="F33" i="4" s="1"/>
  <c r="H12" i="3"/>
  <c r="F12" i="4" s="1" a="1"/>
  <c r="F12" i="4" s="1"/>
  <c r="H18" i="3"/>
  <c r="F18" i="4" s="1" a="1"/>
  <c r="F18" i="4" s="1"/>
  <c r="H32" i="3"/>
  <c r="F32" i="4" s="1" a="1"/>
  <c r="F32" i="4" s="1"/>
  <c r="H76" i="3"/>
  <c r="F76" i="4" s="1" a="1"/>
  <c r="F76" i="4" s="1"/>
  <c r="H36" i="3"/>
  <c r="F36" i="4" s="1" a="1"/>
  <c r="F36" i="4" s="1"/>
  <c r="H28" i="3"/>
  <c r="F28" i="4" s="1" a="1"/>
  <c r="F28" i="4" s="1"/>
  <c r="H38" i="3"/>
  <c r="F38" i="4" s="1" a="1"/>
  <c r="F38" i="4" s="1"/>
  <c r="H78" i="3"/>
  <c r="F78" i="4" s="1" a="1"/>
  <c r="F78" i="4" s="1"/>
  <c r="H39" i="3"/>
  <c r="F39" i="4" s="1" a="1"/>
  <c r="F39" i="4" s="1"/>
  <c r="H17" i="3"/>
  <c r="F17" i="4" s="1" a="1"/>
  <c r="F17" i="4" s="1"/>
  <c r="H24" i="3"/>
  <c r="F24" i="4" s="1" a="1"/>
  <c r="F24" i="4" s="1"/>
  <c r="H61" i="3"/>
  <c r="F61" i="4" s="1" a="1"/>
  <c r="F61" i="4" s="1"/>
  <c r="H53" i="3"/>
  <c r="F53" i="4" s="1" a="1"/>
  <c r="F53" i="4" s="1"/>
  <c r="H26" i="3"/>
  <c r="F26" i="4" s="1" a="1"/>
  <c r="F26" i="4" s="1"/>
  <c r="H52" i="3"/>
  <c r="F52" i="4" s="1" a="1"/>
  <c r="F52" i="4" s="1"/>
  <c r="H74" i="3"/>
  <c r="F74" i="4" s="1" a="1"/>
  <c r="F74" i="4" s="1"/>
  <c r="H64" i="3"/>
  <c r="F64" i="4" s="1" a="1"/>
  <c r="F64" i="4" s="1"/>
  <c r="H65" i="3"/>
  <c r="F65" i="4" s="1" a="1"/>
  <c r="F65" i="4" s="1"/>
  <c r="H66" i="3"/>
  <c r="F66" i="4" s="1" a="1"/>
  <c r="F66" i="4" s="1"/>
  <c r="H9" i="3"/>
  <c r="F9" i="4" s="1" a="1"/>
  <c r="F9" i="4" s="1"/>
  <c r="H69" i="3"/>
  <c r="F69" i="4" s="1" a="1"/>
  <c r="F69" i="4" s="1"/>
  <c r="H44" i="3"/>
  <c r="F44" i="4" s="1" a="1"/>
  <c r="F44" i="4" s="1"/>
  <c r="H54" i="3"/>
  <c r="F54" i="4" s="1" a="1"/>
  <c r="F54" i="4" s="1"/>
  <c r="H50" i="3"/>
  <c r="F50" i="4" s="1" a="1"/>
  <c r="F50" i="4" s="1"/>
  <c r="H55" i="3"/>
  <c r="F55" i="4" s="1" a="1"/>
  <c r="F55" i="4" s="1"/>
  <c r="H29" i="3"/>
  <c r="F29" i="4" s="1" a="1"/>
  <c r="F29" i="4" s="1"/>
  <c r="H21" i="3"/>
  <c r="F21" i="4" s="1" a="1"/>
  <c r="F21" i="4" s="1"/>
  <c r="H56" i="3"/>
  <c r="F56" i="4" s="1" a="1"/>
  <c r="F56" i="4" s="1"/>
  <c r="H43" i="3"/>
  <c r="F43" i="4" s="1" a="1"/>
  <c r="F43" i="4" s="1"/>
  <c r="H25" i="3"/>
  <c r="F25" i="4" s="1" a="1"/>
  <c r="F25" i="4" s="1"/>
  <c r="H35" i="3"/>
  <c r="F35" i="4" s="1" a="1"/>
  <c r="F35" i="4" s="1"/>
  <c r="H46" i="3"/>
  <c r="F46" i="4" s="1" a="1"/>
  <c r="F46" i="4" s="1"/>
  <c r="H42" i="3"/>
  <c r="F42" i="4" s="1" a="1"/>
  <c r="F42" i="4" s="1"/>
  <c r="H15" i="3"/>
  <c r="F15" i="4" s="1" a="1"/>
  <c r="F15" i="4" s="1"/>
  <c r="H34" i="3"/>
  <c r="F34" i="4" s="1" a="1"/>
  <c r="F34" i="4" s="1"/>
  <c r="H67" i="3"/>
  <c r="F67" i="4" s="1" a="1"/>
  <c r="F67" i="4" s="1"/>
  <c r="H40" i="3"/>
  <c r="F40" i="4" s="1" a="1"/>
  <c r="F40" i="4" s="1"/>
  <c r="H77" i="3"/>
  <c r="F77" i="4" s="1" a="1"/>
  <c r="F77" i="4" s="1"/>
  <c r="H59" i="3"/>
  <c r="F59" i="4" s="1" a="1"/>
  <c r="F59" i="4" s="1"/>
  <c r="H23" i="3"/>
  <c r="F23" i="4" s="1" a="1"/>
  <c r="F23" i="4" s="1"/>
  <c r="H4" i="3"/>
  <c r="F4" i="4" s="1" a="1"/>
  <c r="F4" i="4" s="1"/>
  <c r="H73" i="3"/>
  <c r="F73" i="4" s="1" a="1"/>
  <c r="F73" i="4" s="1"/>
  <c r="H6" i="3"/>
  <c r="F6" i="4" s="1" a="1"/>
  <c r="F6" i="4" s="1"/>
  <c r="H60" i="3"/>
  <c r="F60" i="4" s="1" a="1"/>
  <c r="F60" i="4" s="1"/>
  <c r="H68" i="3"/>
  <c r="F68" i="4" s="1" a="1"/>
  <c r="F68" i="4" s="1"/>
  <c r="H63" i="3"/>
  <c r="F63" i="4" s="1" a="1"/>
  <c r="F63" i="4" s="1"/>
  <c r="H31" i="3"/>
  <c r="F31" i="4" s="1" a="1"/>
  <c r="F31" i="4" s="1"/>
  <c r="H47" i="3"/>
  <c r="F47" i="4" s="1" a="1"/>
  <c r="F47" i="4" s="1"/>
  <c r="H49" i="3"/>
  <c r="F49" i="4" s="1" a="1"/>
  <c r="F49" i="4" s="1"/>
  <c r="H19" i="3"/>
  <c r="F19" i="4" s="1" a="1"/>
  <c r="F19" i="4" s="1"/>
  <c r="H20" i="3"/>
  <c r="F20" i="4" s="1" a="1"/>
  <c r="F20" i="4" s="1"/>
  <c r="H62" i="3"/>
  <c r="F62" i="4" s="1" a="1"/>
  <c r="F62" i="4" s="1"/>
  <c r="H70" i="3"/>
  <c r="F70" i="4" s="1" a="1"/>
  <c r="F70" i="4" s="1"/>
  <c r="H51" i="3"/>
  <c r="F51" i="4" s="1" a="1"/>
  <c r="F51" i="4" s="1"/>
  <c r="H57" i="3"/>
  <c r="F57" i="4" s="1" a="1"/>
  <c r="F57" i="4" s="1"/>
  <c r="G45" i="3"/>
  <c r="C45" i="4" s="1" a="1"/>
  <c r="C45" i="4" s="1"/>
  <c r="G73" i="3"/>
  <c r="C73" i="4" s="1" a="1"/>
  <c r="C73" i="4" s="1"/>
  <c r="G60" i="3"/>
  <c r="C60" i="4" s="1" a="1"/>
  <c r="C60" i="4" s="1"/>
  <c r="G68" i="3"/>
  <c r="C68" i="4" s="1" a="1"/>
  <c r="C68" i="4" s="1"/>
  <c r="G63" i="3"/>
  <c r="C63" i="4" s="1" a="1"/>
  <c r="C63" i="4" s="1"/>
  <c r="G71" i="3"/>
  <c r="C71" i="4" s="1" a="1"/>
  <c r="C71" i="4" s="1"/>
  <c r="G31" i="3"/>
  <c r="C31" i="4" s="1" a="1"/>
  <c r="C31" i="4" s="1"/>
  <c r="G11" i="3"/>
  <c r="C11" i="4" s="1" a="1"/>
  <c r="C11" i="4" s="1"/>
  <c r="G47" i="3"/>
  <c r="C47" i="4" s="1" a="1"/>
  <c r="C47" i="4" s="1"/>
  <c r="G41" i="3"/>
  <c r="C41" i="4" s="1" a="1"/>
  <c r="C41" i="4" s="1"/>
  <c r="G20" i="3"/>
  <c r="C20" i="4" s="1" a="1"/>
  <c r="C20" i="4" s="1"/>
  <c r="G70" i="3"/>
  <c r="C70" i="4" s="1" a="1"/>
  <c r="C70" i="4" s="1"/>
  <c r="G8" i="3"/>
  <c r="C8" i="4" s="1" a="1"/>
  <c r="C8" i="4" s="1"/>
  <c r="G35" i="3"/>
  <c r="C35" i="4" s="1" a="1"/>
  <c r="C35" i="4" s="1"/>
  <c r="G46" i="3"/>
  <c r="C46" i="4" s="1" a="1"/>
  <c r="C46" i="4" s="1"/>
  <c r="G42" i="3"/>
  <c r="C42" i="4" s="1" a="1"/>
  <c r="C42" i="4" s="1"/>
  <c r="G15" i="3"/>
  <c r="C15" i="4" s="1" a="1"/>
  <c r="C15" i="4" s="1"/>
  <c r="G34" i="3"/>
  <c r="C34" i="4" s="1" a="1"/>
  <c r="C34" i="4" s="1"/>
  <c r="G67" i="3"/>
  <c r="C67" i="4" s="1" a="1"/>
  <c r="C67" i="4" s="1"/>
  <c r="G40" i="3"/>
  <c r="C40" i="4" s="1" a="1"/>
  <c r="C40" i="4" s="1"/>
  <c r="G77" i="3"/>
  <c r="C77" i="4" s="1" a="1"/>
  <c r="C77" i="4" s="1"/>
  <c r="G59" i="3"/>
  <c r="C59" i="4" s="1" a="1"/>
  <c r="C59" i="4" s="1"/>
  <c r="G23" i="3"/>
  <c r="C23" i="4" s="1" a="1"/>
  <c r="C23" i="4" s="1"/>
  <c r="G6" i="3"/>
  <c r="C6" i="4" s="1" a="1"/>
  <c r="C6" i="4" s="1"/>
  <c r="G49" i="3"/>
  <c r="C49" i="4" s="1" a="1"/>
  <c r="C49" i="4" s="1"/>
  <c r="G19" i="3"/>
  <c r="C19" i="4" s="1" a="1"/>
  <c r="C19" i="4" s="1"/>
  <c r="G62" i="3"/>
  <c r="C62" i="4" s="1" a="1"/>
  <c r="C62" i="4" s="1"/>
  <c r="G51" i="3"/>
  <c r="C51" i="4" s="1" a="1"/>
  <c r="C51" i="4" s="1"/>
  <c r="G37" i="3"/>
  <c r="C37" i="4" s="1" a="1"/>
  <c r="C37" i="4" s="1"/>
  <c r="G75" i="3"/>
  <c r="C75" i="4" s="1" a="1"/>
  <c r="C75" i="4" s="1"/>
  <c r="G33" i="3"/>
  <c r="C33" i="4" s="1" a="1"/>
  <c r="C33" i="4" s="1"/>
  <c r="G12" i="3"/>
  <c r="C12" i="4" s="1" a="1"/>
  <c r="C12" i="4" s="1"/>
  <c r="G22" i="3"/>
  <c r="C22" i="4" s="1" a="1"/>
  <c r="C22" i="4" s="1"/>
  <c r="G58" i="3"/>
  <c r="C58" i="4" s="1" a="1"/>
  <c r="C58" i="4" s="1"/>
  <c r="G18" i="3"/>
  <c r="C18" i="4" s="1" a="1"/>
  <c r="C18" i="4" s="1"/>
  <c r="G48" i="3"/>
  <c r="C48" i="4" s="1" a="1"/>
  <c r="C48" i="4" s="1"/>
  <c r="G16" i="3"/>
  <c r="C16" i="4" s="1" a="1"/>
  <c r="C16" i="4" s="1"/>
  <c r="G72" i="3"/>
  <c r="C72" i="4" s="1" a="1"/>
  <c r="C72" i="4" s="1"/>
  <c r="G32" i="3"/>
  <c r="C32" i="4" s="1" a="1"/>
  <c r="C32" i="4" s="1"/>
  <c r="G14" i="3"/>
  <c r="C14" i="4" s="1" a="1"/>
  <c r="C14" i="4" s="1"/>
  <c r="G10" i="3"/>
  <c r="C10" i="4" s="1" a="1"/>
  <c r="C10" i="4" s="1"/>
  <c r="G36" i="3"/>
  <c r="C36" i="4" s="1" a="1"/>
  <c r="C36" i="4" s="1"/>
  <c r="G76" i="3"/>
  <c r="C76" i="4" s="1" a="1"/>
  <c r="C76" i="4" s="1"/>
  <c r="G7" i="3"/>
  <c r="C7" i="4" s="1" a="1"/>
  <c r="C7" i="4" s="1"/>
  <c r="G13" i="3"/>
  <c r="C13" i="4" s="1" a="1"/>
  <c r="C13" i="4" s="1"/>
  <c r="G5" i="3"/>
  <c r="C5" i="4" s="1" a="1"/>
  <c r="C5" i="4" s="1"/>
  <c r="G57" i="3"/>
  <c r="C57" i="4" s="1" a="1"/>
  <c r="C57" i="4" s="1"/>
  <c r="G27" i="3"/>
  <c r="C27" i="4" s="1" a="1"/>
  <c r="C27" i="4" s="1"/>
  <c r="G28" i="3"/>
  <c r="C28" i="4" s="1" a="1"/>
  <c r="C28" i="4" s="1"/>
  <c r="G38" i="3"/>
  <c r="C38" i="4" s="1" a="1"/>
  <c r="C38" i="4" s="1"/>
  <c r="G78" i="3"/>
  <c r="C78" i="4" s="1" a="1"/>
  <c r="C78" i="4" s="1"/>
  <c r="G39" i="3"/>
  <c r="C39" i="4" s="1" a="1"/>
  <c r="C39" i="4" s="1"/>
  <c r="G17" i="3"/>
  <c r="C17" i="4" s="1" a="1"/>
  <c r="C17" i="4" s="1"/>
  <c r="G24" i="3"/>
  <c r="C24" i="4" s="1" a="1"/>
  <c r="C24" i="4" s="1"/>
  <c r="G61" i="3"/>
  <c r="C61" i="4" s="1" a="1"/>
  <c r="C61" i="4" s="1"/>
  <c r="G53" i="3"/>
  <c r="C53" i="4" s="1" a="1"/>
  <c r="C53" i="4" s="1"/>
  <c r="G30" i="3"/>
  <c r="C30" i="4" s="1" a="1"/>
  <c r="C30" i="4" s="1"/>
  <c r="G26" i="3"/>
  <c r="C26" i="4" s="1" a="1"/>
  <c r="C26" i="4" s="1"/>
  <c r="G52" i="3"/>
  <c r="C52" i="4" s="1" a="1"/>
  <c r="C52" i="4" s="1"/>
  <c r="G74" i="3"/>
  <c r="C74" i="4" s="1" a="1"/>
  <c r="C74" i="4" s="1"/>
  <c r="G64" i="3"/>
  <c r="C64" i="4" s="1" a="1"/>
  <c r="C64" i="4" s="1"/>
  <c r="G65" i="3"/>
  <c r="C65" i="4" s="1" a="1"/>
  <c r="C65" i="4" s="1"/>
  <c r="G66" i="3"/>
  <c r="C66" i="4" s="1" a="1"/>
  <c r="C66" i="4" s="1"/>
  <c r="G9" i="3"/>
  <c r="C9" i="4" s="1" a="1"/>
  <c r="C9" i="4" s="1"/>
  <c r="G69" i="3"/>
  <c r="C69" i="4" s="1" a="1"/>
  <c r="C69" i="4" s="1"/>
  <c r="G44" i="3"/>
  <c r="C44" i="4" s="1" a="1"/>
  <c r="C44" i="4" s="1"/>
  <c r="G54" i="3"/>
  <c r="C54" i="4" s="1" a="1"/>
  <c r="C54" i="4" s="1"/>
  <c r="G50" i="3"/>
  <c r="C50" i="4" s="1" a="1"/>
  <c r="C50" i="4" s="1"/>
  <c r="G55" i="3"/>
  <c r="C55" i="4" s="1" a="1"/>
  <c r="C55" i="4" s="1"/>
  <c r="G29" i="3"/>
  <c r="C29" i="4" s="1" a="1"/>
  <c r="C29" i="4" s="1"/>
  <c r="G21" i="3"/>
  <c r="C21" i="4" s="1" a="1"/>
  <c r="C21" i="4" s="1"/>
  <c r="G56" i="3"/>
  <c r="C56" i="4" s="1" a="1"/>
  <c r="C56" i="4" s="1"/>
  <c r="G43" i="3"/>
  <c r="C43" i="4" s="1" a="1"/>
  <c r="C43" i="4" s="1"/>
  <c r="G25" i="3"/>
  <c r="C25" i="4" s="1" a="1"/>
  <c r="C25" i="4" s="1"/>
  <c r="C65" i="3"/>
  <c r="D65" i="4" s="1" a="1"/>
  <c r="D65" i="4" s="1"/>
  <c r="C54" i="3"/>
  <c r="D54" i="4" s="1" a="1"/>
  <c r="D54" i="4" s="1"/>
  <c r="C7" i="3"/>
  <c r="D7" i="4" s="1" a="1"/>
  <c r="D7" i="4" s="1"/>
  <c r="C52" i="3"/>
  <c r="D52" i="4" s="1" a="1"/>
  <c r="D52" i="4" s="1"/>
  <c r="C37" i="3"/>
  <c r="D37" i="4" s="1" a="1"/>
  <c r="D37" i="4" s="1"/>
  <c r="C26" i="3"/>
  <c r="D26" i="4" s="1" a="1"/>
  <c r="D26" i="4" s="1"/>
  <c r="C13" i="3"/>
  <c r="D13" i="4" s="1" a="1"/>
  <c r="D13" i="4" s="1"/>
  <c r="C33" i="3"/>
  <c r="D33" i="4" s="1" a="1"/>
  <c r="D33" i="4" s="1"/>
  <c r="C42" i="3"/>
  <c r="D42" i="4" s="1" a="1"/>
  <c r="D42" i="4" s="1"/>
  <c r="C18" i="3"/>
  <c r="D18" i="4" s="1" a="1"/>
  <c r="D18" i="4" s="1"/>
  <c r="C60" i="3"/>
  <c r="D60" i="4" s="1" a="1"/>
  <c r="D60" i="4" s="1"/>
  <c r="C63" i="3"/>
  <c r="D63" i="4" s="1" a="1"/>
  <c r="D63" i="4" s="1"/>
  <c r="C73" i="3"/>
  <c r="D73" i="4" s="1" a="1"/>
  <c r="D73" i="4" s="1"/>
  <c r="C50" i="3"/>
  <c r="D50" i="4" s="1" a="1"/>
  <c r="D50" i="4" s="1"/>
  <c r="C5" i="3"/>
  <c r="D5" i="4" s="1" a="1"/>
  <c r="D5" i="4" s="1"/>
  <c r="C49" i="3"/>
  <c r="D49" i="4" s="1" a="1"/>
  <c r="D49" i="4" s="1"/>
  <c r="C14" i="3"/>
  <c r="D14" i="4" s="1" a="1"/>
  <c r="D14" i="4" s="1"/>
  <c r="C15" i="3"/>
  <c r="D15" i="4" s="1" a="1"/>
  <c r="D15" i="4" s="1"/>
  <c r="C24" i="3"/>
  <c r="D24" i="4" s="1" a="1"/>
  <c r="D24" i="4" s="1"/>
  <c r="C27" i="3"/>
  <c r="D27" i="4" s="1" a="1"/>
  <c r="D27" i="4" s="1"/>
  <c r="C56" i="3"/>
  <c r="D56" i="4" s="1" a="1"/>
  <c r="D56" i="4" s="1"/>
  <c r="C20" i="3"/>
  <c r="D20" i="4" s="1" a="1"/>
  <c r="D20" i="4" s="1"/>
  <c r="C55" i="3"/>
  <c r="D55" i="4" s="1" a="1"/>
  <c r="D55" i="4" s="1"/>
  <c r="C61" i="3"/>
  <c r="D61" i="4" s="1" a="1"/>
  <c r="D61" i="4" s="1"/>
  <c r="C22" i="3"/>
  <c r="D22" i="4" s="1" a="1"/>
  <c r="D22" i="4" s="1"/>
  <c r="C34" i="3"/>
  <c r="D34" i="4" s="1" a="1"/>
  <c r="D34" i="4" s="1"/>
  <c r="C66" i="3"/>
  <c r="D66" i="4" s="1" a="1"/>
  <c r="D66" i="4" s="1"/>
  <c r="C57" i="3"/>
  <c r="D57" i="4" s="1" a="1"/>
  <c r="D57" i="4" s="1"/>
  <c r="C10" i="3"/>
  <c r="D10" i="4" s="1" a="1"/>
  <c r="D10" i="4" s="1"/>
  <c r="C29" i="3"/>
  <c r="D29" i="4" s="1" a="1"/>
  <c r="D29" i="4" s="1"/>
  <c r="C53" i="3"/>
  <c r="D53" i="4" s="1" a="1"/>
  <c r="D53" i="4" s="1"/>
  <c r="C31" i="3"/>
  <c r="D31" i="4" s="1" a="1"/>
  <c r="D31" i="4" s="1"/>
  <c r="C28" i="3"/>
  <c r="D28" i="4" s="1" a="1"/>
  <c r="D28" i="4" s="1"/>
  <c r="C67" i="3"/>
  <c r="D67" i="4" s="1" a="1"/>
  <c r="D67" i="4" s="1"/>
  <c r="C9" i="3"/>
  <c r="D9" i="4" s="1" a="1"/>
  <c r="D9" i="4" s="1"/>
  <c r="C64" i="3"/>
  <c r="D64" i="4" s="1" a="1"/>
  <c r="D64" i="4" s="1"/>
  <c r="C62" i="3"/>
  <c r="D62" i="4" s="1" a="1"/>
  <c r="D62" i="4" s="1"/>
  <c r="C51" i="3"/>
  <c r="D51" i="4" s="1" a="1"/>
  <c r="D51" i="4" s="1"/>
  <c r="C21" i="3"/>
  <c r="D21" i="4" s="1" a="1"/>
  <c r="D21" i="4" s="1"/>
  <c r="C43" i="3"/>
  <c r="D43" i="4" s="1" a="1"/>
  <c r="D43" i="4" s="1"/>
  <c r="C30" i="3"/>
  <c r="D30" i="4" s="1" a="1"/>
  <c r="D30" i="4" s="1"/>
  <c r="C68" i="3"/>
  <c r="D68" i="4" s="1" a="1"/>
  <c r="D68" i="4" s="1"/>
  <c r="C40" i="3"/>
  <c r="D40" i="4" s="1" a="1"/>
  <c r="D40" i="4" s="1"/>
  <c r="C77" i="3"/>
  <c r="D77" i="4" s="1" a="1"/>
  <c r="D77" i="4" s="1"/>
  <c r="C36" i="3"/>
  <c r="D36" i="4" s="1" a="1"/>
  <c r="D36" i="4" s="1"/>
  <c r="C70" i="3"/>
  <c r="D70" i="4" s="1" a="1"/>
  <c r="D70" i="4" s="1"/>
  <c r="C11" i="3"/>
  <c r="D11" i="4" s="1" a="1"/>
  <c r="D11" i="4" s="1"/>
  <c r="C69" i="3"/>
  <c r="D69" i="4" s="1" a="1"/>
  <c r="D69" i="4" s="1"/>
  <c r="C38" i="3"/>
  <c r="D38" i="4" s="1" a="1"/>
  <c r="D38" i="4" s="1"/>
  <c r="C58" i="3"/>
  <c r="D58" i="4" s="1" a="1"/>
  <c r="D58" i="4" s="1"/>
  <c r="C45" i="3"/>
  <c r="D45" i="4" s="1" a="1"/>
  <c r="D45" i="4" s="1"/>
  <c r="C25" i="3"/>
  <c r="D25" i="4" s="1" a="1"/>
  <c r="D25" i="4" s="1"/>
  <c r="C35" i="3"/>
  <c r="D35" i="4" s="1" a="1"/>
  <c r="D35" i="4" s="1"/>
  <c r="C76" i="3"/>
  <c r="D76" i="4" s="1" a="1"/>
  <c r="D76" i="4" s="1"/>
  <c r="C71" i="3"/>
  <c r="D71" i="4" s="1" a="1"/>
  <c r="D71" i="4" s="1"/>
  <c r="C59" i="3"/>
  <c r="D59" i="4" s="1" a="1"/>
  <c r="D59" i="4" s="1"/>
  <c r="C78" i="3"/>
  <c r="D78" i="4" s="1" a="1"/>
  <c r="D78" i="4" s="1"/>
  <c r="C8" i="3"/>
  <c r="D8" i="4" s="1" a="1"/>
  <c r="D8" i="4" s="1"/>
  <c r="C16" i="3"/>
  <c r="D16" i="4" s="1" a="1"/>
  <c r="D16" i="4" s="1"/>
  <c r="C47" i="3"/>
  <c r="D47" i="4" s="1" a="1"/>
  <c r="D47" i="4" s="1"/>
  <c r="C44" i="3"/>
  <c r="D44" i="4" s="1" a="1"/>
  <c r="D44" i="4" s="1"/>
  <c r="C48" i="3"/>
  <c r="D48" i="4" s="1" a="1"/>
  <c r="D48" i="4" s="1"/>
  <c r="C23" i="3"/>
  <c r="D23" i="4" s="1" a="1"/>
  <c r="D23" i="4" s="1"/>
  <c r="C6" i="3"/>
  <c r="D6" i="4" s="1" a="1"/>
  <c r="D6" i="4" s="1"/>
  <c r="C46" i="3"/>
  <c r="D46" i="4" s="1" a="1"/>
  <c r="D46" i="4" s="1"/>
  <c r="C41" i="3"/>
  <c r="D41" i="4" s="1" a="1"/>
  <c r="D41" i="4" s="1"/>
  <c r="C19" i="3"/>
  <c r="D19" i="4" s="1" a="1"/>
  <c r="D19" i="4" s="1"/>
  <c r="C39" i="3"/>
  <c r="D39" i="4" s="1" a="1"/>
  <c r="D39" i="4" s="1"/>
  <c r="C75" i="3"/>
  <c r="D75" i="4" s="1" a="1"/>
  <c r="D75" i="4" s="1"/>
  <c r="C12" i="3"/>
  <c r="D12" i="4" s="1" a="1"/>
  <c r="D12" i="4" s="1"/>
  <c r="C74" i="3"/>
  <c r="D74" i="4" s="1" a="1"/>
  <c r="D74" i="4" s="1"/>
  <c r="C17" i="3"/>
  <c r="D17" i="4" s="1" a="1"/>
  <c r="D17" i="4" s="1"/>
  <c r="C72" i="3"/>
  <c r="D72" i="4" s="1" a="1"/>
  <c r="D72" i="4" s="1"/>
  <c r="C32" i="3"/>
  <c r="D32" i="4" s="1" a="1"/>
  <c r="D32" i="4" s="1"/>
  <c r="C4" i="3"/>
  <c r="D4" i="4" s="1" a="1"/>
  <c r="D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<sst xmlns="http://schemas.openxmlformats.org/spreadsheetml/2006/main" count="91" uniqueCount="59">
  <si>
    <t>Pedestal Block Lookup Table (size/type visibility states)</t>
  </si>
  <si>
    <t>What this workbook does</t>
  </si>
  <si>
    <t>• Generates pedestal visibility states from the editable Parameters sheet.
• Matches the same workbook feel as your vault lookup table.
Included sizes:
• Rectangles: 6x6, 8x8, 10x10, 12x12, 12x18, 12x24
• Circles: 9.5 dia, 10.75 dia, 12 dia, 13 dia
• Large rectangles: 24x36, 24x42, 30x48
• Specialty: CAT HOUSE, DOG HOUSE
Use the AutoCAD_Export sheet to copy visibility states into your dynamic block lookup table.</t>
  </si>
  <si>
    <t>Parameters</t>
  </si>
  <si>
    <t>Pedestal Sizes (edit here; add rows for future sizes)</t>
  </si>
  <si>
    <t>Visibility Options</t>
  </si>
  <si>
    <t>Helper Counts (hidden)</t>
  </si>
  <si>
    <t>SizeCode</t>
  </si>
  <si>
    <t>SizeName</t>
  </si>
  <si>
    <t>Shape / Category</t>
  </si>
  <si>
    <t>VisibilityBase</t>
  </si>
  <si>
    <t>Notes</t>
  </si>
  <si>
    <t>OptionCode</t>
  </si>
  <si>
    <t>OptionLabel</t>
  </si>
  <si>
    <t>SizeCount</t>
  </si>
  <si>
    <t>OptionCount</t>
  </si>
  <si>
    <t>CombosPerSize</t>
  </si>
  <si>
    <t>MaxLookupRows</t>
  </si>
  <si>
    <t>8x8 PEDESTAL</t>
  </si>
  <si>
    <t>Rectangle</t>
  </si>
  <si>
    <t>STANDARD RECTANGLE</t>
  </si>
  <si>
    <t>12x12 PEDESTAL</t>
  </si>
  <si>
    <t>12x24 PEDESTAL</t>
  </si>
  <si>
    <t>6x6 PEDESTAL</t>
  </si>
  <si>
    <t>10x10 PEDESTAL</t>
  </si>
  <si>
    <t>12x18 PEDESTAL</t>
  </si>
  <si>
    <t>9.5 DIA PEDESTAL</t>
  </si>
  <si>
    <t>Circle</t>
  </si>
  <si>
    <t>ROUND</t>
  </si>
  <si>
    <t>10.75 DIA PEDESTAL</t>
  </si>
  <si>
    <t>12 DIA PEDESTAL</t>
  </si>
  <si>
    <t>13 DIA PEDESTAL</t>
  </si>
  <si>
    <t>24x36 PEDESTAL</t>
  </si>
  <si>
    <t>Large Rectangle</t>
  </si>
  <si>
    <t>LARGE RECTANGLE</t>
  </si>
  <si>
    <t>24x42 PEDESTAL</t>
  </si>
  <si>
    <t>30x48 PEDESTAL</t>
  </si>
  <si>
    <t>CAT HOUSE</t>
  </si>
  <si>
    <t>House</t>
  </si>
  <si>
    <t>DOG HOUSE</t>
  </si>
  <si>
    <t>Standard</t>
  </si>
  <si>
    <t>With Label</t>
  </si>
  <si>
    <t>With Callout</t>
  </si>
  <si>
    <t>Existing</t>
  </si>
  <si>
    <t>Proposed</t>
  </si>
  <si>
    <t>Lookup Table (generated from Parameters: pedestal size/type + visibility options)</t>
  </si>
  <si>
    <t>ComboCode</t>
  </si>
  <si>
    <t>OptionText</t>
  </si>
  <si>
    <t>Shape</t>
  </si>
  <si>
    <t>VisibilityState</t>
  </si>
  <si>
    <t>Description</t>
  </si>
  <si>
    <t>AutoCAD Built</t>
  </si>
  <si>
    <t>PedestalSize</t>
  </si>
  <si>
    <t>SizeName (optional)</t>
  </si>
  <si>
    <t>Pedestal Width</t>
  </si>
  <si>
    <t>Pedestal Depth</t>
  </si>
  <si>
    <t>Pedestal Diameter</t>
  </si>
  <si>
    <t>AutoCAD Export (filter out blank SizeCode rows, then copy/paste into the block lookup table)</t>
  </si>
  <si>
    <t>36x48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</si>
</sst>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2"/>
      <name val="Calibri"/>
    </font>
    <font>
      <b/>
      <sz val="16"/>
      <color rgb="FF1F4E79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6"/>
      <color rgb="FF1F4E7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/>
    <xf numFmtId="0" fontId="6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3">
    <dxf>
      <numFmt numFmtId="0" formatCode="General"/>
      <alignment horizontal="center" textRotation="0" indent="0" justifyLastLine="0" shrinkToFit="0" readingOrder="0"/>
      <border>
        <left style="thin">
          <color rgb="FFD9D9D9"/>
        </left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numFmt numFmtId="0" formatCode="General"/>
      <alignment horizontal="center" textRotation="0" indent="0" justifyLastLine="0" shrinkToFit="0" readingOrder="0"/>
      <border>
        <right style="thin">
          <color rgb="FFD9D9D9"/>
        </right>
      </border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numFmt numFmtId="0" formatCode="General"/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D0D0D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border outline="0">
        <bottom style="thin">
          <color rgb="FFD0D0D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destalSizes" displayName="PedestalSizes" ref="A4:H104" totalsRowShown="0" headerRowDxfId="31" headerRowBorderDxfId="32">
  <autoFilter ref="A4:H104" xr:uid="{00000000-0009-0000-0100-000001000000}"/>
  <tableColumns count="8">
    <tableColumn id="1" xr3:uid="{00000000-0010-0000-0000-000001000000}" name="SizeCode" dataDxfId="6"/>
    <tableColumn id="2" xr3:uid="{00000000-0010-0000-0000-000002000000}" name="SizeName (optional)" dataDxfId="17"/>
    <tableColumn id="3" xr3:uid="{00000000-0010-0000-0000-000003000000}" name="Shape / Category" dataDxfId="16"/>
    <tableColumn id="4" xr3:uid="{00000000-0010-0000-0000-000004000000}" name="Pedestal Width" dataDxfId="15"/>
    <tableColumn id="5" xr3:uid="{00000000-0010-0000-0000-000005000000}" name="Pedestal Depth" dataDxfId="14"/>
    <tableColumn id="6" xr3:uid="{00000000-0010-0000-0000-000006000000}" name="Pedestal Diameter" dataDxfId="13"/>
    <tableColumn id="7" xr3:uid="{00000000-0010-0000-0000-000007000000}" name="VisibilityBase" dataDxfId="12"/>
    <tableColumn id="8" xr3:uid="{00000000-0010-0000-0000-000008000000}" name="Notes" dataDxfId="11">
      <calculatedColumnFormula>IF(A5&lt;&gt;"",IF(PedestalSizes[[#This Row],[Shape / Category]]="Rectangle",D5&amp;"''x"&amp;E5&amp;"'' "&amp;PedestalSizes[[#This Row],[Shape / Category]],IF(PedestalSizes[[#This Row],[Shape / Category]]="Circle",F5&amp;"'' "&amp;PedestalSizes[[#This Row],[Shape / Category]],"")),"")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sibilityOptions" displayName="VisibilityOptions" ref="K4:L104" totalsRowShown="0" headerRowDxfId="8" dataDxfId="7" headerRowBorderDxfId="30">
  <autoFilter ref="K4:L104" xr:uid="{00000000-0009-0000-0100-000002000000}"/>
  <tableColumns count="2">
    <tableColumn id="1" xr3:uid="{00000000-0010-0000-0100-000001000000}" name="OptionCode" dataDxfId="10"/>
    <tableColumn id="2" xr3:uid="{00000000-0010-0000-0100-000002000000}" name="OptionLabel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destalLookup" displayName="PedestalLookup" ref="A3:I159" totalsRowShown="0" headerRowDxfId="29">
  <autoFilter ref="A3:I159" xr:uid="{00000000-0009-0000-0100-000003000000}"/>
  <tableColumns count="9">
    <tableColumn id="1" xr3:uid="{00000000-0010-0000-0200-000001000000}" name="SizeCode" dataDxfId="28">
      <calculatedColumnFormula>IF(ROW()-3&lt;=Parameters!$N$7,INT((ROW()-4)/Parameters!$N$6)+1,"")</calculatedColumnFormula>
    </tableColumn>
    <tableColumn id="2" xr3:uid="{00000000-0010-0000-0200-000002000000}" name="OptionCode" dataDxfId="27">
      <calculatedColumnFormula>IF(A4="","",MOD(ROW()-4,Parameters!$N$6)+1)</calculatedColumnFormula>
    </tableColumn>
    <tableColumn id="3" xr3:uid="{00000000-0010-0000-0200-000003000000}" name="ComboCode" dataDxfId="26">
      <calculatedColumnFormula>IF(A4="","",A4&amp;"-"&amp;B4)</calculatedColumnFormula>
    </tableColumn>
    <tableColumn id="4" xr3:uid="{00000000-0010-0000-0200-000004000000}" name="OptionText" dataDxfId="25">
      <calculatedColumnFormula array="1">IF(B4="","",INDEX(Parameters!$L$5:$L$104,B4))</calculatedColumnFormula>
    </tableColumn>
    <tableColumn id="5" xr3:uid="{00000000-0010-0000-0200-000005000000}" name="Shape" dataDxfId="24">
      <calculatedColumnFormula array="1">IF(A4="","",INDEX(Parameters!$C$5:$C$104,A4))</calculatedColumnFormula>
    </tableColumn>
    <tableColumn id="6" xr3:uid="{00000000-0010-0000-0200-000006000000}" name="VisibilityBase" dataDxfId="23">
      <calculatedColumnFormula array="1">IF(A4="","",INDEX(Parameters!$G$5:$G$104,A4))</calculatedColumnFormula>
    </tableColumn>
    <tableColumn id="7" xr3:uid="{00000000-0010-0000-0200-000007000000}" name="VisibilityState" dataDxfId="22">
      <calculatedColumnFormula>IF(F4="","",F4&amp;"_"&amp;UPPER(SUBSTITUTE(D4," ","_")))</calculatedColumnFormula>
    </tableColumn>
    <tableColumn id="8" xr3:uid="{00000000-0010-0000-0200-000008000000}" name="Description" dataDxfId="21">
      <calculatedColumnFormula>IF(A4="","",I4&amp;" / "&amp;E4&amp;" / Visibility: "&amp;D4)</calculatedColumnFormula>
    </tableColumn>
    <tableColumn id="9" xr3:uid="{00000000-0010-0000-0200-000009000000}" name="SizeName" dataDxfId="20">
      <calculatedColumnFormula array="1">IF(A4="","",INDEX(Parameters!$B$5:$B$104,A4))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destalAutoCADExport" displayName="PedestalAutoCADExport" ref="A3:F78" totalsRowShown="0" headerRowDxfId="19" dataDxfId="18">
  <autoFilter ref="A3:F78" xr:uid="{00000000-0009-0000-0100-000004000000}"/>
  <tableColumns count="6">
    <tableColumn id="1" xr3:uid="{00000000-0010-0000-0300-000001000000}" name="PedestalSize" dataDxfId="5">
      <calculatedColumnFormula array="1">IFERROR(INDEX('PEDESTALS (LookupTable)'!$A$4:$A$503,ROW()-3),"")</calculatedColumnFormula>
    </tableColumn>
    <tableColumn id="2" xr3:uid="{00000000-0010-0000-0300-000002000000}" name="Shape" dataDxfId="4">
      <calculatedColumnFormula array="1">IFERROR(INDEX('PEDESTALS (LookupTable)'!$E$4:$E$503,ROW()-3),"")</calculatedColumnFormula>
    </tableColumn>
    <tableColumn id="3" xr3:uid="{00000000-0010-0000-0300-000003000000}" name="VisibilityState" dataDxfId="3">
      <calculatedColumnFormula array="1">IFERROR(INDEX('PEDESTALS (LookupTable)'!$G$4:$G$503,ROW()-3),"")</calculatedColumnFormula>
    </tableColumn>
    <tableColumn id="4" xr3:uid="{00000000-0010-0000-0300-000004000000}" name="ComboCode" dataDxfId="2">
      <calculatedColumnFormula array="1">IFERROR(INDEX('PEDESTALS (LookupTable)'!$C$4:$C$503,ROW()-3),"")</calculatedColumnFormula>
    </tableColumn>
    <tableColumn id="5" xr3:uid="{00000000-0010-0000-0300-000005000000}" name="AutoCAD Built" dataDxfId="1"/>
    <tableColumn id="6" xr3:uid="{00000000-0010-0000-0300-000006000000}" name="Description" dataDxfId="0">
      <calculatedColumnFormula array="1">IFERROR(INDEX('PEDESTALS (LookupTable)'!$H$4:$H$503,ROW()-3),"")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showGridLines="0" workbookViewId="0"/>
  </sheetViews>
  <sheetFormatPr defaultRowHeight="15" x14ac:dyDescent="0.25"/>
  <cols>
    <col min="1" max="1" width="100.7109375" customWidth="1"/>
  </cols>
  <sheetData>
    <row r="1" spans="1:1" ht="27.95" customHeight="1" x14ac:dyDescent="0.25">
      <c r="A1" s="1" t="s">
        <v>0</v>
      </c>
    </row>
    <row r="3" spans="1:1" x14ac:dyDescent="0.25">
      <c r="A3" s="2" t="s">
        <v>1</v>
      </c>
    </row>
    <row r="4" spans="1:1" ht="219.95" customHeight="1" x14ac:dyDescent="0.25">
      <c r="A4" s="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4"/>
  <sheetViews>
    <sheetView workbookViewId="0">
      <pane ySplit="4" topLeftCell="A5" activePane="bottomLeft" state="frozen"/>
      <selection pane="bottomLeft" activeCell="B20" sqref="B20"/>
    </sheetView>
  </sheetViews>
  <sheetFormatPr defaultRowHeight="15" x14ac:dyDescent="0.25"/>
  <cols>
    <col min="1" max="1" width="10.7109375" style="4" customWidth="1"/>
    <col min="2" max="2" width="24.7109375" style="4" customWidth="1"/>
    <col min="3" max="3" width="18.7109375" style="4" customWidth="1"/>
    <col min="4" max="6" width="11.7109375" style="4" customWidth="1"/>
    <col min="7" max="7" width="24.7109375" style="4" customWidth="1"/>
    <col min="8" max="8" width="18.7109375" style="4" customWidth="1"/>
    <col min="10" max="10" width="3.7109375" customWidth="1"/>
    <col min="11" max="12" width="18.7109375" style="4" customWidth="1"/>
    <col min="13" max="14" width="14.7109375" hidden="1" customWidth="1"/>
  </cols>
  <sheetData>
    <row r="1" spans="1:14" ht="27.95" customHeight="1" x14ac:dyDescent="0.35">
      <c r="A1" s="10" t="s">
        <v>3</v>
      </c>
      <c r="B1" s="10"/>
      <c r="C1" s="10"/>
      <c r="D1" s="10"/>
      <c r="E1" s="10"/>
      <c r="F1" s="10"/>
      <c r="G1" s="10"/>
      <c r="H1" s="10"/>
      <c r="I1" s="6"/>
      <c r="J1" s="6"/>
      <c r="K1" s="8"/>
      <c r="L1" s="8"/>
    </row>
    <row r="3" spans="1:14" ht="15.75" x14ac:dyDescent="0.25">
      <c r="A3" s="5" t="s">
        <v>4</v>
      </c>
      <c r="B3" s="5"/>
      <c r="C3" s="5"/>
      <c r="D3" s="5"/>
      <c r="E3" s="5"/>
      <c r="F3" s="5"/>
      <c r="G3" s="5"/>
      <c r="H3" s="5"/>
      <c r="K3" s="5" t="s">
        <v>5</v>
      </c>
      <c r="L3" s="21"/>
      <c r="M3" s="16" t="s">
        <v>6</v>
      </c>
      <c r="N3" s="16"/>
    </row>
    <row r="4" spans="1:14" ht="30" x14ac:dyDescent="0.25">
      <c r="A4" s="7" t="s">
        <v>7</v>
      </c>
      <c r="B4" s="7" t="s">
        <v>53</v>
      </c>
      <c r="C4" s="7" t="s">
        <v>9</v>
      </c>
      <c r="D4" s="9" t="s">
        <v>54</v>
      </c>
      <c r="E4" s="9" t="s">
        <v>55</v>
      </c>
      <c r="F4" s="9" t="s">
        <v>56</v>
      </c>
      <c r="G4" s="7" t="s">
        <v>10</v>
      </c>
      <c r="H4" s="7" t="s">
        <v>11</v>
      </c>
      <c r="K4" s="7" t="s">
        <v>12</v>
      </c>
      <c r="L4" s="7" t="s">
        <v>13</v>
      </c>
      <c r="M4" t="s">
        <v>14</v>
      </c>
      <c r="N4">
        <f>COUNT(A5:A104)</f>
        <v>16</v>
      </c>
    </row>
    <row r="5" spans="1:14" x14ac:dyDescent="0.25">
      <c r="A5" s="20">
        <v>1</v>
      </c>
      <c r="B5" s="20" t="s">
        <v>18</v>
      </c>
      <c r="C5" s="20" t="s">
        <v>19</v>
      </c>
      <c r="D5" s="20">
        <v>8</v>
      </c>
      <c r="E5" s="20">
        <v>8</v>
      </c>
      <c r="F5" s="20"/>
      <c r="G5" s="20" t="s">
        <v>20</v>
      </c>
      <c r="H5" s="20" t="str">
        <f>IF(A5&lt;&gt;"",IF(PedestalSizes[[#This Row],[Shape / Category]]="Rectangle",D5&amp;"''x"&amp;E5&amp;"'' "&amp;PedestalSizes[[#This Row],[Shape / Category]],IF(PedestalSizes[[#This Row],[Shape / Category]]="Circle",F5&amp;"'' "&amp;PedestalSizes[[#This Row],[Shape / Category]],"")),"")</f>
        <v>8''x8'' Rectangle</v>
      </c>
      <c r="K5" s="20">
        <v>1</v>
      </c>
      <c r="L5" s="20" t="s">
        <v>40</v>
      </c>
      <c r="M5" t="s">
        <v>15</v>
      </c>
      <c r="N5">
        <f>COUNT(K5:K104)</f>
        <v>5</v>
      </c>
    </row>
    <row r="6" spans="1:14" x14ac:dyDescent="0.25">
      <c r="A6" s="20">
        <v>2</v>
      </c>
      <c r="B6" s="20" t="s">
        <v>21</v>
      </c>
      <c r="C6" s="20" t="s">
        <v>19</v>
      </c>
      <c r="D6" s="20">
        <v>12</v>
      </c>
      <c r="E6" s="20">
        <v>12</v>
      </c>
      <c r="F6" s="20"/>
      <c r="G6" s="20" t="s">
        <v>20</v>
      </c>
      <c r="H6" s="20" t="str">
        <f>IF(A6&lt;&gt;"",IF(PedestalSizes[[#This Row],[Shape / Category]]="Rectangle",D6&amp;"''x"&amp;E6&amp;"'' "&amp;PedestalSizes[[#This Row],[Shape / Category]],IF(PedestalSizes[[#This Row],[Shape / Category]]="Circle",F6&amp;"'' "&amp;PedestalSizes[[#This Row],[Shape / Category]],"")),"")</f>
        <v>12''x12'' Rectangle</v>
      </c>
      <c r="K6" s="20">
        <v>2</v>
      </c>
      <c r="L6" s="20" t="s">
        <v>41</v>
      </c>
      <c r="M6" t="s">
        <v>16</v>
      </c>
      <c r="N6">
        <f>N5</f>
        <v>5</v>
      </c>
    </row>
    <row r="7" spans="1:14" x14ac:dyDescent="0.25">
      <c r="A7" s="20">
        <v>3</v>
      </c>
      <c r="B7" s="20" t="s">
        <v>22</v>
      </c>
      <c r="C7" s="20" t="s">
        <v>19</v>
      </c>
      <c r="D7" s="20">
        <v>12</v>
      </c>
      <c r="E7" s="20">
        <v>24</v>
      </c>
      <c r="F7" s="20"/>
      <c r="G7" s="20" t="s">
        <v>20</v>
      </c>
      <c r="H7" s="20" t="str">
        <f>IF(A7&lt;&gt;"",IF(PedestalSizes[[#This Row],[Shape / Category]]="Rectangle",D7&amp;"''x"&amp;E7&amp;"'' "&amp;PedestalSizes[[#This Row],[Shape / Category]],IF(PedestalSizes[[#This Row],[Shape / Category]]="Circle",F7&amp;"'' "&amp;PedestalSizes[[#This Row],[Shape / Category]],"")),"")</f>
        <v>12''x24'' Rectangle</v>
      </c>
      <c r="K7" s="20">
        <v>3</v>
      </c>
      <c r="L7" s="20" t="s">
        <v>42</v>
      </c>
      <c r="M7" t="s">
        <v>17</v>
      </c>
      <c r="N7">
        <f>N4*N6</f>
        <v>80</v>
      </c>
    </row>
    <row r="8" spans="1:14" x14ac:dyDescent="0.25">
      <c r="A8" s="20">
        <v>4</v>
      </c>
      <c r="B8" s="20" t="s">
        <v>23</v>
      </c>
      <c r="C8" s="20" t="s">
        <v>19</v>
      </c>
      <c r="D8" s="20">
        <v>6</v>
      </c>
      <c r="E8" s="20">
        <v>6</v>
      </c>
      <c r="F8" s="20"/>
      <c r="G8" s="20" t="s">
        <v>20</v>
      </c>
      <c r="H8" s="20" t="str">
        <f>IF(A8&lt;&gt;"",IF(PedestalSizes[[#This Row],[Shape / Category]]="Rectangle",D8&amp;"''x"&amp;E8&amp;"'' "&amp;PedestalSizes[[#This Row],[Shape / Category]],IF(PedestalSizes[[#This Row],[Shape / Category]]="Circle",F8&amp;"'' "&amp;PedestalSizes[[#This Row],[Shape / Category]],"")),"")</f>
        <v>6''x6'' Rectangle</v>
      </c>
      <c r="K8" s="20">
        <v>4</v>
      </c>
      <c r="L8" s="20" t="s">
        <v>43</v>
      </c>
    </row>
    <row r="9" spans="1:14" x14ac:dyDescent="0.25">
      <c r="A9" s="20">
        <v>5</v>
      </c>
      <c r="B9" s="20" t="s">
        <v>24</v>
      </c>
      <c r="C9" s="20" t="s">
        <v>19</v>
      </c>
      <c r="D9" s="20">
        <v>10</v>
      </c>
      <c r="E9" s="20">
        <v>10</v>
      </c>
      <c r="F9" s="20"/>
      <c r="G9" s="20" t="s">
        <v>20</v>
      </c>
      <c r="H9" s="20" t="str">
        <f>IF(A9&lt;&gt;"",IF(PedestalSizes[[#This Row],[Shape / Category]]="Rectangle",D9&amp;"''x"&amp;E9&amp;"'' "&amp;PedestalSizes[[#This Row],[Shape / Category]],IF(PedestalSizes[[#This Row],[Shape / Category]]="Circle",F9&amp;"'' "&amp;PedestalSizes[[#This Row],[Shape / Category]],"")),"")</f>
        <v>10''x10'' Rectangle</v>
      </c>
      <c r="K9" s="20">
        <v>5</v>
      </c>
      <c r="L9" s="20" t="s">
        <v>44</v>
      </c>
    </row>
    <row r="10" spans="1:14" x14ac:dyDescent="0.25">
      <c r="A10" s="20">
        <v>6</v>
      </c>
      <c r="B10" s="20" t="s">
        <v>25</v>
      </c>
      <c r="C10" s="20" t="s">
        <v>19</v>
      </c>
      <c r="D10" s="20">
        <v>12</v>
      </c>
      <c r="E10" s="20">
        <v>18</v>
      </c>
      <c r="F10" s="20"/>
      <c r="G10" s="20" t="s">
        <v>20</v>
      </c>
      <c r="H10" s="20" t="str">
        <f>IF(A10&lt;&gt;"",IF(PedestalSizes[[#This Row],[Shape / Category]]="Rectangle",D10&amp;"''x"&amp;E10&amp;"'' "&amp;PedestalSizes[[#This Row],[Shape / Category]],IF(PedestalSizes[[#This Row],[Shape / Category]]="Circle",F10&amp;"'' "&amp;PedestalSizes[[#This Row],[Shape / Category]],"")),"")</f>
        <v>12''x18'' Rectangle</v>
      </c>
      <c r="K10" s="20"/>
      <c r="L10" s="20"/>
    </row>
    <row r="11" spans="1:14" x14ac:dyDescent="0.25">
      <c r="A11" s="20">
        <v>7</v>
      </c>
      <c r="B11" s="20" t="s">
        <v>26</v>
      </c>
      <c r="C11" s="20" t="s">
        <v>27</v>
      </c>
      <c r="D11" s="20"/>
      <c r="E11" s="20"/>
      <c r="F11" s="20">
        <v>9.5</v>
      </c>
      <c r="G11" s="20" t="s">
        <v>28</v>
      </c>
      <c r="H11" s="20" t="str">
        <f>IF(A11&lt;&gt;"",IF(PedestalSizes[[#This Row],[Shape / Category]]="Rectangle",D11&amp;"''x"&amp;E11&amp;"'' "&amp;PedestalSizes[[#This Row],[Shape / Category]],IF(PedestalSizes[[#This Row],[Shape / Category]]="Circle",F11&amp;"'' "&amp;PedestalSizes[[#This Row],[Shape / Category]],"")),"")</f>
        <v>9.5'' Circle</v>
      </c>
      <c r="K11" s="20"/>
      <c r="L11" s="20"/>
    </row>
    <row r="12" spans="1:14" x14ac:dyDescent="0.25">
      <c r="A12" s="20">
        <v>8</v>
      </c>
      <c r="B12" s="20" t="s">
        <v>29</v>
      </c>
      <c r="C12" s="20" t="s">
        <v>27</v>
      </c>
      <c r="D12" s="20"/>
      <c r="E12" s="20"/>
      <c r="F12" s="20">
        <v>10.75</v>
      </c>
      <c r="G12" s="20" t="s">
        <v>28</v>
      </c>
      <c r="H12" s="20" t="str">
        <f>IF(A12&lt;&gt;"",IF(PedestalSizes[[#This Row],[Shape / Category]]="Rectangle",D12&amp;"''x"&amp;E12&amp;"'' "&amp;PedestalSizes[[#This Row],[Shape / Category]],IF(PedestalSizes[[#This Row],[Shape / Category]]="Circle",F12&amp;"'' "&amp;PedestalSizes[[#This Row],[Shape / Category]],"")),"")</f>
        <v>10.75'' Circle</v>
      </c>
      <c r="K12" s="20"/>
      <c r="L12" s="20"/>
    </row>
    <row r="13" spans="1:14" x14ac:dyDescent="0.25">
      <c r="A13" s="20">
        <v>9</v>
      </c>
      <c r="B13" s="20" t="s">
        <v>30</v>
      </c>
      <c r="C13" s="20" t="s">
        <v>27</v>
      </c>
      <c r="D13" s="20"/>
      <c r="E13" s="20"/>
      <c r="F13" s="20">
        <v>12</v>
      </c>
      <c r="G13" s="20" t="s">
        <v>28</v>
      </c>
      <c r="H13" s="20" t="str">
        <f>IF(A13&lt;&gt;"",IF(PedestalSizes[[#This Row],[Shape / Category]]="Rectangle",D13&amp;"''x"&amp;E13&amp;"'' "&amp;PedestalSizes[[#This Row],[Shape / Category]],IF(PedestalSizes[[#This Row],[Shape / Category]]="Circle",F13&amp;"'' "&amp;PedestalSizes[[#This Row],[Shape / Category]],"")),"")</f>
        <v>12'' Circle</v>
      </c>
      <c r="K13" s="20"/>
      <c r="L13" s="20"/>
    </row>
    <row r="14" spans="1:14" x14ac:dyDescent="0.25">
      <c r="A14" s="20">
        <v>10</v>
      </c>
      <c r="B14" s="20" t="s">
        <v>31</v>
      </c>
      <c r="C14" s="20" t="s">
        <v>27</v>
      </c>
      <c r="D14" s="20"/>
      <c r="E14" s="20"/>
      <c r="F14" s="20">
        <v>13</v>
      </c>
      <c r="G14" s="20" t="s">
        <v>28</v>
      </c>
      <c r="H14" s="20" t="str">
        <f>IF(A14&lt;&gt;"",IF(PedestalSizes[[#This Row],[Shape / Category]]="Rectangle",D14&amp;"''x"&amp;E14&amp;"'' "&amp;PedestalSizes[[#This Row],[Shape / Category]],IF(PedestalSizes[[#This Row],[Shape / Category]]="Circle",F14&amp;"'' "&amp;PedestalSizes[[#This Row],[Shape / Category]],"")),"")</f>
        <v>13'' Circle</v>
      </c>
      <c r="K14" s="20"/>
      <c r="L14" s="20"/>
    </row>
    <row r="15" spans="1:14" x14ac:dyDescent="0.25">
      <c r="A15" s="20">
        <v>11</v>
      </c>
      <c r="B15" s="20" t="s">
        <v>32</v>
      </c>
      <c r="C15" s="20" t="s">
        <v>33</v>
      </c>
      <c r="D15" s="20">
        <v>24</v>
      </c>
      <c r="E15" s="20">
        <v>36</v>
      </c>
      <c r="F15" s="20"/>
      <c r="G15" s="20" t="s">
        <v>34</v>
      </c>
      <c r="H15" s="20" t="str">
        <f>IF(A15&lt;&gt;"",IF(PedestalSizes[[#This Row],[Shape / Category]]="Rectangle",D15&amp;"''x"&amp;E15&amp;"'' "&amp;PedestalSizes[[#This Row],[Shape / Category]],IF(PedestalSizes[[#This Row],[Shape / Category]]="Circle",F15&amp;"'' "&amp;PedestalSizes[[#This Row],[Shape / Category]],"")),"")</f>
        <v/>
      </c>
      <c r="K15" s="20"/>
      <c r="L15" s="20"/>
    </row>
    <row r="16" spans="1:14" x14ac:dyDescent="0.25">
      <c r="A16" s="20">
        <v>12</v>
      </c>
      <c r="B16" s="20" t="s">
        <v>35</v>
      </c>
      <c r="C16" s="20" t="s">
        <v>33</v>
      </c>
      <c r="D16" s="20">
        <v>24</v>
      </c>
      <c r="E16" s="20">
        <v>42</v>
      </c>
      <c r="F16" s="20"/>
      <c r="G16" s="20" t="s">
        <v>34</v>
      </c>
      <c r="H16" s="20" t="str">
        <f>IF(A16&lt;&gt;"",IF(PedestalSizes[[#This Row],[Shape / Category]]="Rectangle",D16&amp;"''x"&amp;E16&amp;"'' "&amp;PedestalSizes[[#This Row],[Shape / Category]],IF(PedestalSizes[[#This Row],[Shape / Category]]="Circle",F16&amp;"'' "&amp;PedestalSizes[[#This Row],[Shape / Category]],"")),"")</f>
        <v/>
      </c>
      <c r="K16" s="20"/>
      <c r="L16" s="20"/>
    </row>
    <row r="17" spans="1:12" x14ac:dyDescent="0.25">
      <c r="A17" s="20">
        <v>13</v>
      </c>
      <c r="B17" s="20" t="s">
        <v>36</v>
      </c>
      <c r="C17" s="20" t="s">
        <v>33</v>
      </c>
      <c r="D17" s="20">
        <v>30</v>
      </c>
      <c r="E17" s="20">
        <v>48</v>
      </c>
      <c r="F17" s="20"/>
      <c r="G17" s="20" t="s">
        <v>34</v>
      </c>
      <c r="H17" s="20" t="str">
        <f>IF(A17&lt;&gt;"",IF(PedestalSizes[[#This Row],[Shape / Category]]="Rectangle",D17&amp;"''x"&amp;E17&amp;"'' "&amp;PedestalSizes[[#This Row],[Shape / Category]],IF(PedestalSizes[[#This Row],[Shape / Category]]="Circle",F17&amp;"'' "&amp;PedestalSizes[[#This Row],[Shape / Category]],"")),"")</f>
        <v/>
      </c>
      <c r="K17" s="20"/>
      <c r="L17" s="20"/>
    </row>
    <row r="18" spans="1:12" x14ac:dyDescent="0.25">
      <c r="A18" s="20">
        <v>14</v>
      </c>
      <c r="B18" s="20" t="s">
        <v>37</v>
      </c>
      <c r="C18" s="20" t="s">
        <v>38</v>
      </c>
      <c r="D18" s="20"/>
      <c r="E18" s="20"/>
      <c r="F18" s="20"/>
      <c r="G18" s="20" t="s">
        <v>37</v>
      </c>
      <c r="H18" s="20" t="str">
        <f>IF(A18&lt;&gt;"",IF(PedestalSizes[[#This Row],[Shape / Category]]="Rectangle",D18&amp;"''x"&amp;E18&amp;"'' "&amp;PedestalSizes[[#This Row],[Shape / Category]],IF(PedestalSizes[[#This Row],[Shape / Category]]="Circle",F18&amp;"'' "&amp;PedestalSizes[[#This Row],[Shape / Category]],"")),"")</f>
        <v/>
      </c>
      <c r="K18" s="20"/>
      <c r="L18" s="20"/>
    </row>
    <row r="19" spans="1:12" x14ac:dyDescent="0.25">
      <c r="A19" s="20">
        <v>15</v>
      </c>
      <c r="B19" s="20" t="s">
        <v>39</v>
      </c>
      <c r="C19" s="20" t="s">
        <v>38</v>
      </c>
      <c r="D19" s="20"/>
      <c r="E19" s="20"/>
      <c r="F19" s="20"/>
      <c r="G19" s="20" t="s">
        <v>39</v>
      </c>
      <c r="H19" s="20" t="str">
        <f>IF(A19&lt;&gt;"",IF(PedestalSizes[[#This Row],[Shape / Category]]="Rectangle",D19&amp;"''x"&amp;E19&amp;"'' "&amp;PedestalSizes[[#This Row],[Shape / Category]],IF(PedestalSizes[[#This Row],[Shape / Category]]="Circle",F19&amp;"'' "&amp;PedestalSizes[[#This Row],[Shape / Category]],"")),"")</f>
        <v/>
      </c>
      <c r="K19" s="20"/>
      <c r="L19" s="20"/>
    </row>
    <row r="20" spans="1:12" x14ac:dyDescent="0.25">
      <c r="A20" s="20">
        <v>16</v>
      </c>
      <c r="B20" s="20" t="s">
        <v>58</v>
      </c>
      <c r="C20" s="20" t="s">
        <v>33</v>
      </c>
      <c r="D20" s="20">
        <v>36</v>
      </c>
      <c r="E20" s="20">
        <v>48</v>
      </c>
      <c r="F20" s="20"/>
      <c r="G20" s="20" t="s">
        <v>34</v>
      </c>
      <c r="H20" s="20" t="str">
        <f>IF(A20&lt;&gt;"",IF(PedestalSizes[[#This Row],[Shape / Category]]="Rectangle",D20&amp;"''x"&amp;E20&amp;"'' "&amp;PedestalSizes[[#This Row],[Shape / Category]],IF(PedestalSizes[[#This Row],[Shape / Category]]="Circle",F20&amp;"'' "&amp;PedestalSizes[[#This Row],[Shape / Category]],"")),"")</f>
        <v/>
      </c>
      <c r="K20" s="20"/>
      <c r="L20" s="20"/>
    </row>
    <row r="21" spans="1:12" x14ac:dyDescent="0.25">
      <c r="A21" s="20"/>
      <c r="B21" s="20"/>
      <c r="C21" s="20"/>
      <c r="D21" s="20"/>
      <c r="E21" s="20"/>
      <c r="F21" s="20"/>
      <c r="G21" s="20"/>
      <c r="H21" s="20" t="str">
        <f>IF(A21&lt;&gt;"",IF(PedestalSizes[[#This Row],[Shape / Category]]="Rectangle",D21&amp;"''x"&amp;E21&amp;"'' "&amp;PedestalSizes[[#This Row],[Shape / Category]],IF(PedestalSizes[[#This Row],[Shape / Category]]="Circle",F21&amp;"'' "&amp;PedestalSizes[[#This Row],[Shape / Category]],"")),"")</f>
        <v/>
      </c>
      <c r="K21" s="20"/>
      <c r="L21" s="20"/>
    </row>
    <row r="22" spans="1:12" x14ac:dyDescent="0.25">
      <c r="A22" s="20"/>
      <c r="B22" s="20"/>
      <c r="C22" s="20"/>
      <c r="D22" s="20"/>
      <c r="E22" s="20"/>
      <c r="F22" s="20"/>
      <c r="G22" s="20"/>
      <c r="H22" s="20" t="str">
        <f>IF(A22&lt;&gt;"",IF(PedestalSizes[[#This Row],[Shape / Category]]="Rectangle",D22&amp;"''x"&amp;E22&amp;"'' "&amp;PedestalSizes[[#This Row],[Shape / Category]],IF(PedestalSizes[[#This Row],[Shape / Category]]="Circle",F22&amp;"'' "&amp;PedestalSizes[[#This Row],[Shape / Category]],"")),"")</f>
        <v/>
      </c>
      <c r="K22" s="20"/>
      <c r="L22" s="20"/>
    </row>
    <row r="23" spans="1:12" x14ac:dyDescent="0.25">
      <c r="A23" s="20"/>
      <c r="B23" s="20"/>
      <c r="C23" s="20"/>
      <c r="D23" s="20"/>
      <c r="E23" s="20"/>
      <c r="F23" s="20"/>
      <c r="G23" s="20"/>
      <c r="H23" s="20" t="str">
        <f>IF(A23&lt;&gt;"",IF(PedestalSizes[[#This Row],[Shape / Category]]="Rectangle",D23&amp;"''x"&amp;E23&amp;"'' "&amp;PedestalSizes[[#This Row],[Shape / Category]],IF(PedestalSizes[[#This Row],[Shape / Category]]="Circle",F23&amp;"'' "&amp;PedestalSizes[[#This Row],[Shape / Category]],"")),"")</f>
        <v/>
      </c>
      <c r="K23" s="20"/>
      <c r="L23" s="20"/>
    </row>
    <row r="24" spans="1:12" x14ac:dyDescent="0.25">
      <c r="A24" s="20"/>
      <c r="B24" s="20"/>
      <c r="C24" s="20"/>
      <c r="D24" s="20"/>
      <c r="E24" s="20"/>
      <c r="F24" s="20"/>
      <c r="G24" s="20"/>
      <c r="H24" s="20" t="str">
        <f>IF(A24&lt;&gt;"",IF(PedestalSizes[[#This Row],[Shape / Category]]="Rectangle",D24&amp;"''x"&amp;E24&amp;"'' "&amp;PedestalSizes[[#This Row],[Shape / Category]],IF(PedestalSizes[[#This Row],[Shape / Category]]="Circle",F24&amp;"'' "&amp;PedestalSizes[[#This Row],[Shape / Category]],"")),"")</f>
        <v/>
      </c>
      <c r="K24" s="20"/>
      <c r="L24" s="20"/>
    </row>
    <row r="25" spans="1:12" x14ac:dyDescent="0.25">
      <c r="A25" s="20"/>
      <c r="B25" s="20"/>
      <c r="C25" s="20"/>
      <c r="D25" s="20"/>
      <c r="E25" s="20"/>
      <c r="F25" s="20"/>
      <c r="G25" s="20"/>
      <c r="H25" s="20" t="str">
        <f>IF(A25&lt;&gt;"",IF(PedestalSizes[[#This Row],[Shape / Category]]="Rectangle",D25&amp;"''x"&amp;E25&amp;"'' "&amp;PedestalSizes[[#This Row],[Shape / Category]],IF(PedestalSizes[[#This Row],[Shape / Category]]="Circle",F25&amp;"'' "&amp;PedestalSizes[[#This Row],[Shape / Category]],"")),"")</f>
        <v/>
      </c>
      <c r="K25" s="20"/>
      <c r="L25" s="20"/>
    </row>
    <row r="26" spans="1:12" x14ac:dyDescent="0.25">
      <c r="A26" s="20"/>
      <c r="B26" s="20"/>
      <c r="C26" s="20"/>
      <c r="D26" s="20"/>
      <c r="E26" s="20"/>
      <c r="F26" s="20"/>
      <c r="G26" s="20"/>
      <c r="H26" s="20" t="str">
        <f>IF(A26&lt;&gt;"",IF(PedestalSizes[[#This Row],[Shape / Category]]="Rectangle",D26&amp;"''x"&amp;E26&amp;"'' "&amp;PedestalSizes[[#This Row],[Shape / Category]],IF(PedestalSizes[[#This Row],[Shape / Category]]="Circle",F26&amp;"'' "&amp;PedestalSizes[[#This Row],[Shape / Category]],"")),"")</f>
        <v/>
      </c>
      <c r="K26" s="20"/>
      <c r="L26" s="20"/>
    </row>
    <row r="27" spans="1:12" x14ac:dyDescent="0.25">
      <c r="A27" s="20"/>
      <c r="B27" s="20"/>
      <c r="C27" s="20"/>
      <c r="D27" s="20"/>
      <c r="E27" s="20"/>
      <c r="F27" s="20"/>
      <c r="G27" s="20"/>
      <c r="H27" s="20" t="str">
        <f>IF(A27&lt;&gt;"",IF(PedestalSizes[[#This Row],[Shape / Category]]="Rectangle",D27&amp;"''x"&amp;E27&amp;"'' "&amp;PedestalSizes[[#This Row],[Shape / Category]],IF(PedestalSizes[[#This Row],[Shape / Category]]="Circle",F27&amp;"'' "&amp;PedestalSizes[[#This Row],[Shape / Category]],"")),"")</f>
        <v/>
      </c>
      <c r="K27" s="20"/>
      <c r="L27" s="20"/>
    </row>
    <row r="28" spans="1:12" x14ac:dyDescent="0.25">
      <c r="A28" s="20"/>
      <c r="B28" s="20"/>
      <c r="C28" s="20"/>
      <c r="D28" s="20"/>
      <c r="E28" s="20"/>
      <c r="F28" s="20"/>
      <c r="G28" s="20"/>
      <c r="H28" s="20" t="str">
        <f>IF(A28&lt;&gt;"",IF(PedestalSizes[[#This Row],[Shape / Category]]="Rectangle",D28&amp;"''x"&amp;E28&amp;"'' "&amp;PedestalSizes[[#This Row],[Shape / Category]],IF(PedestalSizes[[#This Row],[Shape / Category]]="Circle",F28&amp;"'' "&amp;PedestalSizes[[#This Row],[Shape / Category]],"")),"")</f>
        <v/>
      </c>
      <c r="K28" s="20"/>
      <c r="L28" s="20"/>
    </row>
    <row r="29" spans="1:12" x14ac:dyDescent="0.25">
      <c r="A29" s="20"/>
      <c r="B29" s="20"/>
      <c r="C29" s="20"/>
      <c r="D29" s="20"/>
      <c r="E29" s="20"/>
      <c r="F29" s="20"/>
      <c r="G29" s="20"/>
      <c r="H29" s="20" t="str">
        <f>IF(A29&lt;&gt;"",IF(PedestalSizes[[#This Row],[Shape / Category]]="Rectangle",D29&amp;"''x"&amp;E29&amp;"'' "&amp;PedestalSizes[[#This Row],[Shape / Category]],IF(PedestalSizes[[#This Row],[Shape / Category]]="Circle",F29&amp;"'' "&amp;PedestalSizes[[#This Row],[Shape / Category]],"")),"")</f>
        <v/>
      </c>
      <c r="K29" s="20"/>
      <c r="L29" s="20"/>
    </row>
    <row r="30" spans="1:12" x14ac:dyDescent="0.25">
      <c r="A30" s="20"/>
      <c r="B30" s="20"/>
      <c r="C30" s="20"/>
      <c r="D30" s="20"/>
      <c r="E30" s="20"/>
      <c r="F30" s="20"/>
      <c r="G30" s="20"/>
      <c r="H30" s="20" t="str">
        <f>IF(A30&lt;&gt;"",IF(PedestalSizes[[#This Row],[Shape / Category]]="Rectangle",D30&amp;"''x"&amp;E30&amp;"'' "&amp;PedestalSizes[[#This Row],[Shape / Category]],IF(PedestalSizes[[#This Row],[Shape / Category]]="Circle",F30&amp;"'' "&amp;PedestalSizes[[#This Row],[Shape / Category]],"")),"")</f>
        <v/>
      </c>
      <c r="K30" s="20"/>
      <c r="L30" s="20"/>
    </row>
    <row r="31" spans="1:12" x14ac:dyDescent="0.25">
      <c r="A31" s="20"/>
      <c r="B31" s="20"/>
      <c r="C31" s="20"/>
      <c r="D31" s="20"/>
      <c r="E31" s="20"/>
      <c r="F31" s="20"/>
      <c r="G31" s="20"/>
      <c r="H31" s="20" t="str">
        <f>IF(A31&lt;&gt;"",IF(PedestalSizes[[#This Row],[Shape / Category]]="Rectangle",D31&amp;"''x"&amp;E31&amp;"'' "&amp;PedestalSizes[[#This Row],[Shape / Category]],IF(PedestalSizes[[#This Row],[Shape / Category]]="Circle",F31&amp;"'' "&amp;PedestalSizes[[#This Row],[Shape / Category]],"")),"")</f>
        <v/>
      </c>
      <c r="K31" s="20"/>
      <c r="L31" s="20"/>
    </row>
    <row r="32" spans="1:12" x14ac:dyDescent="0.25">
      <c r="A32" s="20"/>
      <c r="B32" s="20"/>
      <c r="C32" s="20"/>
      <c r="D32" s="20"/>
      <c r="E32" s="20"/>
      <c r="F32" s="20"/>
      <c r="G32" s="20"/>
      <c r="H32" s="20" t="str">
        <f>IF(A32&lt;&gt;"",IF(PedestalSizes[[#This Row],[Shape / Category]]="Rectangle",D32&amp;"''x"&amp;E32&amp;"'' "&amp;PedestalSizes[[#This Row],[Shape / Category]],IF(PedestalSizes[[#This Row],[Shape / Category]]="Circle",F32&amp;"'' "&amp;PedestalSizes[[#This Row],[Shape / Category]],"")),"")</f>
        <v/>
      </c>
      <c r="K32" s="20"/>
      <c r="L32" s="20"/>
    </row>
    <row r="33" spans="1:12" x14ac:dyDescent="0.25">
      <c r="A33" s="20"/>
      <c r="B33" s="20"/>
      <c r="C33" s="20"/>
      <c r="D33" s="20"/>
      <c r="E33" s="20"/>
      <c r="F33" s="20"/>
      <c r="G33" s="20"/>
      <c r="H33" s="20" t="str">
        <f>IF(A33&lt;&gt;"",IF(PedestalSizes[[#This Row],[Shape / Category]]="Rectangle",D33&amp;"''x"&amp;E33&amp;"'' "&amp;PedestalSizes[[#This Row],[Shape / Category]],IF(PedestalSizes[[#This Row],[Shape / Category]]="Circle",F33&amp;"'' "&amp;PedestalSizes[[#This Row],[Shape / Category]],"")),"")</f>
        <v/>
      </c>
      <c r="K33" s="20"/>
      <c r="L33" s="20"/>
    </row>
    <row r="34" spans="1:12" x14ac:dyDescent="0.25">
      <c r="A34" s="20"/>
      <c r="B34" s="20"/>
      <c r="C34" s="20"/>
      <c r="D34" s="20"/>
      <c r="E34" s="20"/>
      <c r="F34" s="20"/>
      <c r="G34" s="20"/>
      <c r="H34" s="20" t="str">
        <f>IF(A34&lt;&gt;"",IF(PedestalSizes[[#This Row],[Shape / Category]]="Rectangle",D34&amp;"''x"&amp;E34&amp;"'' "&amp;PedestalSizes[[#This Row],[Shape / Category]],IF(PedestalSizes[[#This Row],[Shape / Category]]="Circle",F34&amp;"'' "&amp;PedestalSizes[[#This Row],[Shape / Category]],"")),"")</f>
        <v/>
      </c>
      <c r="K34" s="20"/>
      <c r="L34" s="20"/>
    </row>
    <row r="35" spans="1:12" x14ac:dyDescent="0.25">
      <c r="A35" s="20"/>
      <c r="B35" s="20"/>
      <c r="C35" s="20"/>
      <c r="D35" s="20"/>
      <c r="E35" s="20"/>
      <c r="F35" s="20"/>
      <c r="G35" s="20"/>
      <c r="H35" s="20" t="str">
        <f>IF(A35&lt;&gt;"",IF(PedestalSizes[[#This Row],[Shape / Category]]="Rectangle",D35&amp;"''x"&amp;E35&amp;"'' "&amp;PedestalSizes[[#This Row],[Shape / Category]],IF(PedestalSizes[[#This Row],[Shape / Category]]="Circle",F35&amp;"'' "&amp;PedestalSizes[[#This Row],[Shape / Category]],"")),"")</f>
        <v/>
      </c>
      <c r="K35" s="20"/>
      <c r="L35" s="20"/>
    </row>
    <row r="36" spans="1:12" x14ac:dyDescent="0.25">
      <c r="A36" s="20"/>
      <c r="B36" s="20"/>
      <c r="C36" s="20"/>
      <c r="D36" s="20"/>
      <c r="E36" s="20"/>
      <c r="F36" s="20"/>
      <c r="G36" s="20"/>
      <c r="H36" s="20" t="str">
        <f>IF(A36&lt;&gt;"",IF(PedestalSizes[[#This Row],[Shape / Category]]="Rectangle",D36&amp;"''x"&amp;E36&amp;"'' "&amp;PedestalSizes[[#This Row],[Shape / Category]],IF(PedestalSizes[[#This Row],[Shape / Category]]="Circle",F36&amp;"'' "&amp;PedestalSizes[[#This Row],[Shape / Category]],"")),"")</f>
        <v/>
      </c>
      <c r="K36" s="20"/>
      <c r="L36" s="20"/>
    </row>
    <row r="37" spans="1:12" x14ac:dyDescent="0.25">
      <c r="A37" s="20"/>
      <c r="B37" s="20"/>
      <c r="C37" s="20"/>
      <c r="D37" s="20"/>
      <c r="E37" s="20"/>
      <c r="F37" s="20"/>
      <c r="G37" s="20"/>
      <c r="H37" s="20" t="str">
        <f>IF(A37&lt;&gt;"",IF(PedestalSizes[[#This Row],[Shape / Category]]="Rectangle",D37&amp;"''x"&amp;E37&amp;"'' "&amp;PedestalSizes[[#This Row],[Shape / Category]],IF(PedestalSizes[[#This Row],[Shape / Category]]="Circle",F37&amp;"'' "&amp;PedestalSizes[[#This Row],[Shape / Category]],"")),"")</f>
        <v/>
      </c>
      <c r="K37" s="20"/>
      <c r="L37" s="20"/>
    </row>
    <row r="38" spans="1:12" x14ac:dyDescent="0.25">
      <c r="A38" s="20"/>
      <c r="B38" s="20"/>
      <c r="C38" s="20"/>
      <c r="D38" s="20"/>
      <c r="E38" s="20"/>
      <c r="F38" s="20"/>
      <c r="G38" s="20"/>
      <c r="H38" s="20" t="str">
        <f>IF(A38&lt;&gt;"",IF(PedestalSizes[[#This Row],[Shape / Category]]="Rectangle",D38&amp;"''x"&amp;E38&amp;"'' "&amp;PedestalSizes[[#This Row],[Shape / Category]],IF(PedestalSizes[[#This Row],[Shape / Category]]="Circle",F38&amp;"'' "&amp;PedestalSizes[[#This Row],[Shape / Category]],"")),"")</f>
        <v/>
      </c>
      <c r="K38" s="20"/>
      <c r="L38" s="20"/>
    </row>
    <row r="39" spans="1:12" x14ac:dyDescent="0.25">
      <c r="A39" s="20"/>
      <c r="B39" s="20"/>
      <c r="C39" s="20"/>
      <c r="D39" s="20"/>
      <c r="E39" s="20"/>
      <c r="F39" s="20"/>
      <c r="G39" s="20"/>
      <c r="H39" s="20" t="str">
        <f>IF(A39&lt;&gt;"",IF(PedestalSizes[[#This Row],[Shape / Category]]="Rectangle",D39&amp;"''x"&amp;E39&amp;"'' "&amp;PedestalSizes[[#This Row],[Shape / Category]],IF(PedestalSizes[[#This Row],[Shape / Category]]="Circle",F39&amp;"'' "&amp;PedestalSizes[[#This Row],[Shape / Category]],"")),"")</f>
        <v/>
      </c>
      <c r="K39" s="20"/>
      <c r="L39" s="20"/>
    </row>
    <row r="40" spans="1:12" x14ac:dyDescent="0.25">
      <c r="A40" s="20"/>
      <c r="B40" s="20"/>
      <c r="C40" s="20"/>
      <c r="D40" s="20"/>
      <c r="E40" s="20"/>
      <c r="F40" s="20"/>
      <c r="G40" s="20"/>
      <c r="H40" s="20" t="str">
        <f>IF(A40&lt;&gt;"",IF(PedestalSizes[[#This Row],[Shape / Category]]="Rectangle",D40&amp;"''x"&amp;E40&amp;"'' "&amp;PedestalSizes[[#This Row],[Shape / Category]],IF(PedestalSizes[[#This Row],[Shape / Category]]="Circle",F40&amp;"'' "&amp;PedestalSizes[[#This Row],[Shape / Category]],"")),"")</f>
        <v/>
      </c>
      <c r="K40" s="20"/>
      <c r="L40" s="20"/>
    </row>
    <row r="41" spans="1:12" x14ac:dyDescent="0.25">
      <c r="A41" s="20"/>
      <c r="B41" s="20"/>
      <c r="C41" s="20"/>
      <c r="D41" s="20"/>
      <c r="E41" s="20"/>
      <c r="F41" s="20"/>
      <c r="G41" s="20"/>
      <c r="H41" s="20" t="str">
        <f>IF(A41&lt;&gt;"",IF(PedestalSizes[[#This Row],[Shape / Category]]="Rectangle",D41&amp;"''x"&amp;E41&amp;"'' "&amp;PedestalSizes[[#This Row],[Shape / Category]],IF(PedestalSizes[[#This Row],[Shape / Category]]="Circle",F41&amp;"'' "&amp;PedestalSizes[[#This Row],[Shape / Category]],"")),"")</f>
        <v/>
      </c>
      <c r="K41" s="20"/>
      <c r="L41" s="20"/>
    </row>
    <row r="42" spans="1:12" x14ac:dyDescent="0.25">
      <c r="A42" s="20"/>
      <c r="B42" s="20"/>
      <c r="C42" s="20"/>
      <c r="D42" s="20"/>
      <c r="E42" s="20"/>
      <c r="F42" s="20"/>
      <c r="G42" s="20"/>
      <c r="H42" s="20" t="str">
        <f>IF(A42&lt;&gt;"",IF(PedestalSizes[[#This Row],[Shape / Category]]="Rectangle",D42&amp;"''x"&amp;E42&amp;"'' "&amp;PedestalSizes[[#This Row],[Shape / Category]],IF(PedestalSizes[[#This Row],[Shape / Category]]="Circle",F42&amp;"'' "&amp;PedestalSizes[[#This Row],[Shape / Category]],"")),"")</f>
        <v/>
      </c>
      <c r="K42" s="20"/>
      <c r="L42" s="20"/>
    </row>
    <row r="43" spans="1:12" x14ac:dyDescent="0.25">
      <c r="A43" s="20"/>
      <c r="B43" s="20"/>
      <c r="C43" s="20"/>
      <c r="D43" s="20"/>
      <c r="E43" s="20"/>
      <c r="F43" s="20"/>
      <c r="G43" s="20"/>
      <c r="H43" s="20" t="str">
        <f>IF(A43&lt;&gt;"",IF(PedestalSizes[[#This Row],[Shape / Category]]="Rectangle",D43&amp;"''x"&amp;E43&amp;"'' "&amp;PedestalSizes[[#This Row],[Shape / Category]],IF(PedestalSizes[[#This Row],[Shape / Category]]="Circle",F43&amp;"'' "&amp;PedestalSizes[[#This Row],[Shape / Category]],"")),"")</f>
        <v/>
      </c>
      <c r="K43" s="20"/>
      <c r="L43" s="20"/>
    </row>
    <row r="44" spans="1:12" x14ac:dyDescent="0.25">
      <c r="A44" s="20"/>
      <c r="B44" s="20"/>
      <c r="C44" s="20"/>
      <c r="D44" s="20"/>
      <c r="E44" s="20"/>
      <c r="F44" s="20"/>
      <c r="G44" s="20"/>
      <c r="H44" s="20" t="str">
        <f>IF(A44&lt;&gt;"",IF(PedestalSizes[[#This Row],[Shape / Category]]="Rectangle",D44&amp;"''x"&amp;E44&amp;"'' "&amp;PedestalSizes[[#This Row],[Shape / Category]],IF(PedestalSizes[[#This Row],[Shape / Category]]="Circle",F44&amp;"'' "&amp;PedestalSizes[[#This Row],[Shape / Category]],"")),"")</f>
        <v/>
      </c>
      <c r="K44" s="20"/>
      <c r="L44" s="20"/>
    </row>
    <row r="45" spans="1:12" x14ac:dyDescent="0.25">
      <c r="A45" s="20"/>
      <c r="B45" s="20"/>
      <c r="C45" s="20"/>
      <c r="D45" s="20"/>
      <c r="E45" s="20"/>
      <c r="F45" s="20"/>
      <c r="G45" s="20"/>
      <c r="H45" s="20" t="str">
        <f>IF(A45&lt;&gt;"",IF(PedestalSizes[[#This Row],[Shape / Category]]="Rectangle",D45&amp;"''x"&amp;E45&amp;"'' "&amp;PedestalSizes[[#This Row],[Shape / Category]],IF(PedestalSizes[[#This Row],[Shape / Category]]="Circle",F45&amp;"'' "&amp;PedestalSizes[[#This Row],[Shape / Category]],"")),"")</f>
        <v/>
      </c>
      <c r="K45" s="20"/>
      <c r="L45" s="20"/>
    </row>
    <row r="46" spans="1:12" x14ac:dyDescent="0.25">
      <c r="A46" s="20"/>
      <c r="B46" s="20"/>
      <c r="C46" s="20"/>
      <c r="D46" s="20"/>
      <c r="E46" s="20"/>
      <c r="F46" s="20"/>
      <c r="G46" s="20"/>
      <c r="H46" s="20" t="str">
        <f>IF(A46&lt;&gt;"",IF(PedestalSizes[[#This Row],[Shape / Category]]="Rectangle",D46&amp;"''x"&amp;E46&amp;"'' "&amp;PedestalSizes[[#This Row],[Shape / Category]],IF(PedestalSizes[[#This Row],[Shape / Category]]="Circle",F46&amp;"'' "&amp;PedestalSizes[[#This Row],[Shape / Category]],"")),"")</f>
        <v/>
      </c>
      <c r="K46" s="20"/>
      <c r="L46" s="20"/>
    </row>
    <row r="47" spans="1:12" x14ac:dyDescent="0.25">
      <c r="A47" s="20"/>
      <c r="B47" s="20"/>
      <c r="C47" s="20"/>
      <c r="D47" s="20"/>
      <c r="E47" s="20"/>
      <c r="F47" s="20"/>
      <c r="G47" s="20"/>
      <c r="H47" s="20" t="str">
        <f>IF(A47&lt;&gt;"",IF(PedestalSizes[[#This Row],[Shape / Category]]="Rectangle",D47&amp;"''x"&amp;E47&amp;"'' "&amp;PedestalSizes[[#This Row],[Shape / Category]],IF(PedestalSizes[[#This Row],[Shape / Category]]="Circle",F47&amp;"'' "&amp;PedestalSizes[[#This Row],[Shape / Category]],"")),"")</f>
        <v/>
      </c>
      <c r="K47" s="20"/>
      <c r="L47" s="20"/>
    </row>
    <row r="48" spans="1:12" x14ac:dyDescent="0.25">
      <c r="A48" s="20"/>
      <c r="B48" s="20"/>
      <c r="C48" s="20"/>
      <c r="D48" s="20"/>
      <c r="E48" s="20"/>
      <c r="F48" s="20"/>
      <c r="G48" s="20"/>
      <c r="H48" s="20" t="str">
        <f>IF(A48&lt;&gt;"",IF(PedestalSizes[[#This Row],[Shape / Category]]="Rectangle",D48&amp;"''x"&amp;E48&amp;"'' "&amp;PedestalSizes[[#This Row],[Shape / Category]],IF(PedestalSizes[[#This Row],[Shape / Category]]="Circle",F48&amp;"'' "&amp;PedestalSizes[[#This Row],[Shape / Category]],"")),"")</f>
        <v/>
      </c>
      <c r="K48" s="20"/>
      <c r="L48" s="20"/>
    </row>
    <row r="49" spans="1:12" x14ac:dyDescent="0.25">
      <c r="A49" s="20"/>
      <c r="B49" s="20"/>
      <c r="C49" s="20"/>
      <c r="D49" s="20"/>
      <c r="E49" s="20"/>
      <c r="F49" s="20"/>
      <c r="G49" s="20"/>
      <c r="H49" s="20" t="str">
        <f>IF(A49&lt;&gt;"",IF(PedestalSizes[[#This Row],[Shape / Category]]="Rectangle",D49&amp;"''x"&amp;E49&amp;"'' "&amp;PedestalSizes[[#This Row],[Shape / Category]],IF(PedestalSizes[[#This Row],[Shape / Category]]="Circle",F49&amp;"'' "&amp;PedestalSizes[[#This Row],[Shape / Category]],"")),"")</f>
        <v/>
      </c>
      <c r="K49" s="20"/>
      <c r="L49" s="20"/>
    </row>
    <row r="50" spans="1:12" x14ac:dyDescent="0.25">
      <c r="A50" s="20"/>
      <c r="B50" s="20"/>
      <c r="C50" s="20"/>
      <c r="D50" s="20"/>
      <c r="E50" s="20"/>
      <c r="F50" s="20"/>
      <c r="G50" s="20"/>
      <c r="H50" s="20" t="str">
        <f>IF(A50&lt;&gt;"",IF(PedestalSizes[[#This Row],[Shape / Category]]="Rectangle",D50&amp;"''x"&amp;E50&amp;"'' "&amp;PedestalSizes[[#This Row],[Shape / Category]],IF(PedestalSizes[[#This Row],[Shape / Category]]="Circle",F50&amp;"'' "&amp;PedestalSizes[[#This Row],[Shape / Category]],"")),"")</f>
        <v/>
      </c>
      <c r="K50" s="20"/>
      <c r="L50" s="20"/>
    </row>
    <row r="51" spans="1:12" x14ac:dyDescent="0.25">
      <c r="A51" s="20"/>
      <c r="B51" s="20"/>
      <c r="C51" s="20"/>
      <c r="D51" s="20"/>
      <c r="E51" s="20"/>
      <c r="F51" s="20"/>
      <c r="G51" s="20"/>
      <c r="H51" s="20" t="str">
        <f>IF(A51&lt;&gt;"",IF(PedestalSizes[[#This Row],[Shape / Category]]="Rectangle",D51&amp;"''x"&amp;E51&amp;"'' "&amp;PedestalSizes[[#This Row],[Shape / Category]],IF(PedestalSizes[[#This Row],[Shape / Category]]="Circle",F51&amp;"'' "&amp;PedestalSizes[[#This Row],[Shape / Category]],"")),"")</f>
        <v/>
      </c>
      <c r="K51" s="20"/>
      <c r="L51" s="20"/>
    </row>
    <row r="52" spans="1:12" x14ac:dyDescent="0.25">
      <c r="A52" s="20"/>
      <c r="B52" s="20"/>
      <c r="C52" s="20"/>
      <c r="D52" s="20"/>
      <c r="E52" s="20"/>
      <c r="F52" s="20"/>
      <c r="G52" s="20"/>
      <c r="H52" s="20" t="str">
        <f>IF(A52&lt;&gt;"",IF(PedestalSizes[[#This Row],[Shape / Category]]="Rectangle",D52&amp;"''x"&amp;E52&amp;"'' "&amp;PedestalSizes[[#This Row],[Shape / Category]],IF(PedestalSizes[[#This Row],[Shape / Category]]="Circle",F52&amp;"'' "&amp;PedestalSizes[[#This Row],[Shape / Category]],"")),"")</f>
        <v/>
      </c>
      <c r="K52" s="20"/>
      <c r="L52" s="20"/>
    </row>
    <row r="53" spans="1:12" x14ac:dyDescent="0.25">
      <c r="A53" s="20"/>
      <c r="B53" s="20"/>
      <c r="C53" s="20"/>
      <c r="D53" s="20"/>
      <c r="E53" s="20"/>
      <c r="F53" s="20"/>
      <c r="G53" s="20"/>
      <c r="H53" s="20" t="str">
        <f>IF(A53&lt;&gt;"",IF(PedestalSizes[[#This Row],[Shape / Category]]="Rectangle",D53&amp;"''x"&amp;E53&amp;"'' "&amp;PedestalSizes[[#This Row],[Shape / Category]],IF(PedestalSizes[[#This Row],[Shape / Category]]="Circle",F53&amp;"'' "&amp;PedestalSizes[[#This Row],[Shape / Category]],"")),"")</f>
        <v/>
      </c>
      <c r="K53" s="20"/>
      <c r="L53" s="20"/>
    </row>
    <row r="54" spans="1:12" x14ac:dyDescent="0.25">
      <c r="A54" s="20"/>
      <c r="B54" s="20"/>
      <c r="C54" s="20"/>
      <c r="D54" s="20"/>
      <c r="E54" s="20"/>
      <c r="F54" s="20"/>
      <c r="G54" s="20"/>
      <c r="H54" s="20" t="str">
        <f>IF(A54&lt;&gt;"",IF(PedestalSizes[[#This Row],[Shape / Category]]="Rectangle",D54&amp;"''x"&amp;E54&amp;"'' "&amp;PedestalSizes[[#This Row],[Shape / Category]],IF(PedestalSizes[[#This Row],[Shape / Category]]="Circle",F54&amp;"'' "&amp;PedestalSizes[[#This Row],[Shape / Category]],"")),"")</f>
        <v/>
      </c>
      <c r="K54" s="20"/>
      <c r="L54" s="20"/>
    </row>
    <row r="55" spans="1:12" x14ac:dyDescent="0.25">
      <c r="A55" s="20"/>
      <c r="B55" s="20"/>
      <c r="C55" s="20"/>
      <c r="D55" s="20"/>
      <c r="E55" s="20"/>
      <c r="F55" s="20"/>
      <c r="G55" s="20"/>
      <c r="H55" s="20" t="str">
        <f>IF(A55&lt;&gt;"",IF(PedestalSizes[[#This Row],[Shape / Category]]="Rectangle",D55&amp;"''x"&amp;E55&amp;"'' "&amp;PedestalSizes[[#This Row],[Shape / Category]],IF(PedestalSizes[[#This Row],[Shape / Category]]="Circle",F55&amp;"'' "&amp;PedestalSizes[[#This Row],[Shape / Category]],"")),"")</f>
        <v/>
      </c>
      <c r="K55" s="20"/>
      <c r="L55" s="20"/>
    </row>
    <row r="56" spans="1:12" x14ac:dyDescent="0.25">
      <c r="A56" s="20"/>
      <c r="B56" s="20"/>
      <c r="C56" s="20"/>
      <c r="D56" s="20"/>
      <c r="E56" s="20"/>
      <c r="F56" s="20"/>
      <c r="G56" s="20"/>
      <c r="H56" s="20" t="str">
        <f>IF(A56&lt;&gt;"",IF(PedestalSizes[[#This Row],[Shape / Category]]="Rectangle",D56&amp;"''x"&amp;E56&amp;"'' "&amp;PedestalSizes[[#This Row],[Shape / Category]],IF(PedestalSizes[[#This Row],[Shape / Category]]="Circle",F56&amp;"'' "&amp;PedestalSizes[[#This Row],[Shape / Category]],"")),"")</f>
        <v/>
      </c>
      <c r="K56" s="20"/>
      <c r="L56" s="20"/>
    </row>
    <row r="57" spans="1:12" x14ac:dyDescent="0.25">
      <c r="A57" s="20"/>
      <c r="B57" s="20"/>
      <c r="C57" s="20"/>
      <c r="D57" s="20"/>
      <c r="E57" s="20"/>
      <c r="F57" s="20"/>
      <c r="G57" s="20"/>
      <c r="H57" s="20" t="str">
        <f>IF(A57&lt;&gt;"",IF(PedestalSizes[[#This Row],[Shape / Category]]="Rectangle",D57&amp;"''x"&amp;E57&amp;"'' "&amp;PedestalSizes[[#This Row],[Shape / Category]],IF(PedestalSizes[[#This Row],[Shape / Category]]="Circle",F57&amp;"'' "&amp;PedestalSizes[[#This Row],[Shape / Category]],"")),"")</f>
        <v/>
      </c>
      <c r="K57" s="20"/>
      <c r="L57" s="20"/>
    </row>
    <row r="58" spans="1:12" x14ac:dyDescent="0.25">
      <c r="A58" s="20"/>
      <c r="B58" s="20"/>
      <c r="C58" s="20"/>
      <c r="D58" s="20"/>
      <c r="E58" s="20"/>
      <c r="F58" s="20"/>
      <c r="G58" s="20"/>
      <c r="H58" s="20" t="str">
        <f>IF(A58&lt;&gt;"",IF(PedestalSizes[[#This Row],[Shape / Category]]="Rectangle",D58&amp;"''x"&amp;E58&amp;"'' "&amp;PedestalSizes[[#This Row],[Shape / Category]],IF(PedestalSizes[[#This Row],[Shape / Category]]="Circle",F58&amp;"'' "&amp;PedestalSizes[[#This Row],[Shape / Category]],"")),"")</f>
        <v/>
      </c>
      <c r="K58" s="20"/>
      <c r="L58" s="20"/>
    </row>
    <row r="59" spans="1:12" x14ac:dyDescent="0.25">
      <c r="A59" s="20"/>
      <c r="B59" s="20"/>
      <c r="C59" s="20"/>
      <c r="D59" s="20"/>
      <c r="E59" s="20"/>
      <c r="F59" s="20"/>
      <c r="G59" s="20"/>
      <c r="H59" s="20" t="str">
        <f>IF(A59&lt;&gt;"",IF(PedestalSizes[[#This Row],[Shape / Category]]="Rectangle",D59&amp;"''x"&amp;E59&amp;"'' "&amp;PedestalSizes[[#This Row],[Shape / Category]],IF(PedestalSizes[[#This Row],[Shape / Category]]="Circle",F59&amp;"'' "&amp;PedestalSizes[[#This Row],[Shape / Category]],"")),"")</f>
        <v/>
      </c>
      <c r="K59" s="20"/>
      <c r="L59" s="20"/>
    </row>
    <row r="60" spans="1:12" x14ac:dyDescent="0.25">
      <c r="A60" s="20"/>
      <c r="B60" s="20"/>
      <c r="C60" s="20"/>
      <c r="D60" s="20"/>
      <c r="E60" s="20"/>
      <c r="F60" s="20"/>
      <c r="G60" s="20"/>
      <c r="H60" s="20" t="str">
        <f>IF(A60&lt;&gt;"",IF(PedestalSizes[[#This Row],[Shape / Category]]="Rectangle",D60&amp;"''x"&amp;E60&amp;"'' "&amp;PedestalSizes[[#This Row],[Shape / Category]],IF(PedestalSizes[[#This Row],[Shape / Category]]="Circle",F60&amp;"'' "&amp;PedestalSizes[[#This Row],[Shape / Category]],"")),"")</f>
        <v/>
      </c>
      <c r="K60" s="20"/>
      <c r="L60" s="20"/>
    </row>
    <row r="61" spans="1:12" x14ac:dyDescent="0.25">
      <c r="A61" s="20"/>
      <c r="B61" s="20"/>
      <c r="C61" s="20"/>
      <c r="D61" s="20"/>
      <c r="E61" s="20"/>
      <c r="F61" s="20"/>
      <c r="G61" s="20"/>
      <c r="H61" s="20" t="str">
        <f>IF(A61&lt;&gt;"",IF(PedestalSizes[[#This Row],[Shape / Category]]="Rectangle",D61&amp;"''x"&amp;E61&amp;"'' "&amp;PedestalSizes[[#This Row],[Shape / Category]],IF(PedestalSizes[[#This Row],[Shape / Category]]="Circle",F61&amp;"'' "&amp;PedestalSizes[[#This Row],[Shape / Category]],"")),"")</f>
        <v/>
      </c>
      <c r="K61" s="20"/>
      <c r="L61" s="20"/>
    </row>
    <row r="62" spans="1:12" x14ac:dyDescent="0.25">
      <c r="A62" s="20"/>
      <c r="B62" s="20"/>
      <c r="C62" s="20"/>
      <c r="D62" s="20"/>
      <c r="E62" s="20"/>
      <c r="F62" s="20"/>
      <c r="G62" s="20"/>
      <c r="H62" s="20" t="str">
        <f>IF(A62&lt;&gt;"",IF(PedestalSizes[[#This Row],[Shape / Category]]="Rectangle",D62&amp;"''x"&amp;E62&amp;"'' "&amp;PedestalSizes[[#This Row],[Shape / Category]],IF(PedestalSizes[[#This Row],[Shape / Category]]="Circle",F62&amp;"'' "&amp;PedestalSizes[[#This Row],[Shape / Category]],"")),"")</f>
        <v/>
      </c>
      <c r="K62" s="20"/>
      <c r="L62" s="20"/>
    </row>
    <row r="63" spans="1:12" x14ac:dyDescent="0.25">
      <c r="A63" s="20"/>
      <c r="B63" s="20"/>
      <c r="C63" s="20"/>
      <c r="D63" s="20"/>
      <c r="E63" s="20"/>
      <c r="F63" s="20"/>
      <c r="G63" s="20"/>
      <c r="H63" s="20" t="str">
        <f>IF(A63&lt;&gt;"",IF(PedestalSizes[[#This Row],[Shape / Category]]="Rectangle",D63&amp;"''x"&amp;E63&amp;"'' "&amp;PedestalSizes[[#This Row],[Shape / Category]],IF(PedestalSizes[[#This Row],[Shape / Category]]="Circle",F63&amp;"'' "&amp;PedestalSizes[[#This Row],[Shape / Category]],"")),"")</f>
        <v/>
      </c>
      <c r="K63" s="20"/>
      <c r="L63" s="20"/>
    </row>
    <row r="64" spans="1:12" x14ac:dyDescent="0.25">
      <c r="A64" s="20"/>
      <c r="B64" s="20"/>
      <c r="C64" s="20"/>
      <c r="D64" s="20"/>
      <c r="E64" s="20"/>
      <c r="F64" s="20"/>
      <c r="G64" s="20"/>
      <c r="H64" s="20" t="str">
        <f>IF(A64&lt;&gt;"",IF(PedestalSizes[[#This Row],[Shape / Category]]="Rectangle",D64&amp;"''x"&amp;E64&amp;"'' "&amp;PedestalSizes[[#This Row],[Shape / Category]],IF(PedestalSizes[[#This Row],[Shape / Category]]="Circle",F64&amp;"'' "&amp;PedestalSizes[[#This Row],[Shape / Category]],"")),"")</f>
        <v/>
      </c>
      <c r="K64" s="20"/>
      <c r="L64" s="20"/>
    </row>
    <row r="65" spans="1:12" x14ac:dyDescent="0.25">
      <c r="A65" s="20"/>
      <c r="B65" s="20"/>
      <c r="C65" s="20"/>
      <c r="D65" s="20"/>
      <c r="E65" s="20"/>
      <c r="F65" s="20"/>
      <c r="G65" s="20"/>
      <c r="H65" s="20" t="str">
        <f>IF(A65&lt;&gt;"",IF(PedestalSizes[[#This Row],[Shape / Category]]="Rectangle",D65&amp;"''x"&amp;E65&amp;"'' "&amp;PedestalSizes[[#This Row],[Shape / Category]],IF(PedestalSizes[[#This Row],[Shape / Category]]="Circle",F65&amp;"'' "&amp;PedestalSizes[[#This Row],[Shape / Category]],"")),"")</f>
        <v/>
      </c>
      <c r="K65" s="20"/>
      <c r="L65" s="20"/>
    </row>
    <row r="66" spans="1:12" x14ac:dyDescent="0.25">
      <c r="A66" s="20"/>
      <c r="B66" s="20"/>
      <c r="C66" s="20"/>
      <c r="D66" s="20"/>
      <c r="E66" s="20"/>
      <c r="F66" s="20"/>
      <c r="G66" s="20"/>
      <c r="H66" s="20" t="str">
        <f>IF(A66&lt;&gt;"",IF(PedestalSizes[[#This Row],[Shape / Category]]="Rectangle",D66&amp;"''x"&amp;E66&amp;"'' "&amp;PedestalSizes[[#This Row],[Shape / Category]],IF(PedestalSizes[[#This Row],[Shape / Category]]="Circle",F66&amp;"'' "&amp;PedestalSizes[[#This Row],[Shape / Category]],"")),"")</f>
        <v/>
      </c>
      <c r="K66" s="20"/>
      <c r="L66" s="20"/>
    </row>
    <row r="67" spans="1:12" x14ac:dyDescent="0.25">
      <c r="A67" s="20"/>
      <c r="B67" s="20"/>
      <c r="C67" s="20"/>
      <c r="D67" s="20"/>
      <c r="E67" s="20"/>
      <c r="F67" s="20"/>
      <c r="G67" s="20"/>
      <c r="H67" s="20" t="str">
        <f>IF(A67&lt;&gt;"",IF(PedestalSizes[[#This Row],[Shape / Category]]="Rectangle",D67&amp;"''x"&amp;E67&amp;"'' "&amp;PedestalSizes[[#This Row],[Shape / Category]],IF(PedestalSizes[[#This Row],[Shape / Category]]="Circle",F67&amp;"'' "&amp;PedestalSizes[[#This Row],[Shape / Category]],"")),"")</f>
        <v/>
      </c>
      <c r="K67" s="20"/>
      <c r="L67" s="20"/>
    </row>
    <row r="68" spans="1:12" x14ac:dyDescent="0.25">
      <c r="A68" s="20"/>
      <c r="B68" s="20"/>
      <c r="C68" s="20"/>
      <c r="D68" s="20"/>
      <c r="E68" s="20"/>
      <c r="F68" s="20"/>
      <c r="G68" s="20"/>
      <c r="H68" s="20" t="str">
        <f>IF(A68&lt;&gt;"",IF(PedestalSizes[[#This Row],[Shape / Category]]="Rectangle",D68&amp;"''x"&amp;E68&amp;"'' "&amp;PedestalSizes[[#This Row],[Shape / Category]],IF(PedestalSizes[[#This Row],[Shape / Category]]="Circle",F68&amp;"'' "&amp;PedestalSizes[[#This Row],[Shape / Category]],"")),"")</f>
        <v/>
      </c>
      <c r="K68" s="20"/>
      <c r="L68" s="20"/>
    </row>
    <row r="69" spans="1:12" x14ac:dyDescent="0.25">
      <c r="A69" s="20"/>
      <c r="B69" s="20"/>
      <c r="C69" s="20"/>
      <c r="D69" s="20"/>
      <c r="E69" s="20"/>
      <c r="F69" s="20"/>
      <c r="G69" s="20"/>
      <c r="H69" s="20" t="str">
        <f>IF(A69&lt;&gt;"",IF(PedestalSizes[[#This Row],[Shape / Category]]="Rectangle",D69&amp;"''x"&amp;E69&amp;"'' "&amp;PedestalSizes[[#This Row],[Shape / Category]],IF(PedestalSizes[[#This Row],[Shape / Category]]="Circle",F69&amp;"'' "&amp;PedestalSizes[[#This Row],[Shape / Category]],"")),"")</f>
        <v/>
      </c>
      <c r="K69" s="20"/>
      <c r="L69" s="20"/>
    </row>
    <row r="70" spans="1:12" x14ac:dyDescent="0.25">
      <c r="A70" s="20"/>
      <c r="B70" s="20"/>
      <c r="C70" s="20"/>
      <c r="D70" s="20"/>
      <c r="E70" s="20"/>
      <c r="F70" s="20"/>
      <c r="G70" s="20"/>
      <c r="H70" s="20" t="str">
        <f>IF(A70&lt;&gt;"",IF(PedestalSizes[[#This Row],[Shape / Category]]="Rectangle",D70&amp;"''x"&amp;E70&amp;"'' "&amp;PedestalSizes[[#This Row],[Shape / Category]],IF(PedestalSizes[[#This Row],[Shape / Category]]="Circle",F70&amp;"'' "&amp;PedestalSizes[[#This Row],[Shape / Category]],"")),"")</f>
        <v/>
      </c>
      <c r="K70" s="20"/>
      <c r="L70" s="20"/>
    </row>
    <row r="71" spans="1:12" x14ac:dyDescent="0.25">
      <c r="A71" s="20"/>
      <c r="B71" s="20"/>
      <c r="C71" s="20"/>
      <c r="D71" s="20"/>
      <c r="E71" s="20"/>
      <c r="F71" s="20"/>
      <c r="G71" s="20"/>
      <c r="H71" s="20" t="str">
        <f>IF(A71&lt;&gt;"",IF(PedestalSizes[[#This Row],[Shape / Category]]="Rectangle",D71&amp;"''x"&amp;E71&amp;"'' "&amp;PedestalSizes[[#This Row],[Shape / Category]],IF(PedestalSizes[[#This Row],[Shape / Category]]="Circle",F71&amp;"'' "&amp;PedestalSizes[[#This Row],[Shape / Category]],"")),"")</f>
        <v/>
      </c>
      <c r="K71" s="20"/>
      <c r="L71" s="20"/>
    </row>
    <row r="72" spans="1:12" x14ac:dyDescent="0.25">
      <c r="A72" s="20"/>
      <c r="B72" s="20"/>
      <c r="C72" s="20"/>
      <c r="D72" s="20"/>
      <c r="E72" s="20"/>
      <c r="F72" s="20"/>
      <c r="G72" s="20"/>
      <c r="H72" s="20" t="str">
        <f>IF(A72&lt;&gt;"",IF(PedestalSizes[[#This Row],[Shape / Category]]="Rectangle",D72&amp;"''x"&amp;E72&amp;"'' "&amp;PedestalSizes[[#This Row],[Shape / Category]],IF(PedestalSizes[[#This Row],[Shape / Category]]="Circle",F72&amp;"'' "&amp;PedestalSizes[[#This Row],[Shape / Category]],"")),"")</f>
        <v/>
      </c>
      <c r="K72" s="20"/>
      <c r="L72" s="20"/>
    </row>
    <row r="73" spans="1:12" x14ac:dyDescent="0.25">
      <c r="A73" s="20"/>
      <c r="B73" s="20"/>
      <c r="C73" s="20"/>
      <c r="D73" s="20"/>
      <c r="E73" s="20"/>
      <c r="F73" s="20"/>
      <c r="G73" s="20"/>
      <c r="H73" s="20" t="str">
        <f>IF(A73&lt;&gt;"",IF(PedestalSizes[[#This Row],[Shape / Category]]="Rectangle",D73&amp;"''x"&amp;E73&amp;"'' "&amp;PedestalSizes[[#This Row],[Shape / Category]],IF(PedestalSizes[[#This Row],[Shape / Category]]="Circle",F73&amp;"'' "&amp;PedestalSizes[[#This Row],[Shape / Category]],"")),"")</f>
        <v/>
      </c>
      <c r="K73" s="20"/>
      <c r="L73" s="20"/>
    </row>
    <row r="74" spans="1:12" x14ac:dyDescent="0.25">
      <c r="A74" s="20"/>
      <c r="B74" s="20"/>
      <c r="C74" s="20"/>
      <c r="D74" s="20"/>
      <c r="E74" s="20"/>
      <c r="F74" s="20"/>
      <c r="G74" s="20"/>
      <c r="H74" s="20" t="str">
        <f>IF(A74&lt;&gt;"",IF(PedestalSizes[[#This Row],[Shape / Category]]="Rectangle",D74&amp;"''x"&amp;E74&amp;"'' "&amp;PedestalSizes[[#This Row],[Shape / Category]],IF(PedestalSizes[[#This Row],[Shape / Category]]="Circle",F74&amp;"'' "&amp;PedestalSizes[[#This Row],[Shape / Category]],"")),"")</f>
        <v/>
      </c>
      <c r="K74" s="20"/>
      <c r="L74" s="20"/>
    </row>
    <row r="75" spans="1:12" x14ac:dyDescent="0.25">
      <c r="A75" s="20"/>
      <c r="B75" s="20"/>
      <c r="C75" s="20"/>
      <c r="D75" s="20"/>
      <c r="E75" s="20"/>
      <c r="F75" s="20"/>
      <c r="G75" s="20"/>
      <c r="H75" s="20" t="str">
        <f>IF(A75&lt;&gt;"",IF(PedestalSizes[[#This Row],[Shape / Category]]="Rectangle",D75&amp;"''x"&amp;E75&amp;"'' "&amp;PedestalSizes[[#This Row],[Shape / Category]],IF(PedestalSizes[[#This Row],[Shape / Category]]="Circle",F75&amp;"'' "&amp;PedestalSizes[[#This Row],[Shape / Category]],"")),"")</f>
        <v/>
      </c>
      <c r="K75" s="20"/>
      <c r="L75" s="20"/>
    </row>
    <row r="76" spans="1:12" x14ac:dyDescent="0.25">
      <c r="A76" s="20"/>
      <c r="B76" s="20"/>
      <c r="C76" s="20"/>
      <c r="D76" s="20"/>
      <c r="E76" s="20"/>
      <c r="F76" s="20"/>
      <c r="G76" s="20"/>
      <c r="H76" s="20" t="str">
        <f>IF(A76&lt;&gt;"",IF(PedestalSizes[[#This Row],[Shape / Category]]="Rectangle",D76&amp;"''x"&amp;E76&amp;"'' "&amp;PedestalSizes[[#This Row],[Shape / Category]],IF(PedestalSizes[[#This Row],[Shape / Category]]="Circle",F76&amp;"'' "&amp;PedestalSizes[[#This Row],[Shape / Category]],"")),"")</f>
        <v/>
      </c>
      <c r="K76" s="20"/>
      <c r="L76" s="20"/>
    </row>
    <row r="77" spans="1:12" x14ac:dyDescent="0.25">
      <c r="A77" s="20"/>
      <c r="B77" s="20"/>
      <c r="C77" s="20"/>
      <c r="D77" s="20"/>
      <c r="E77" s="20"/>
      <c r="F77" s="20"/>
      <c r="G77" s="20"/>
      <c r="H77" s="20" t="str">
        <f>IF(A77&lt;&gt;"",IF(PedestalSizes[[#This Row],[Shape / Category]]="Rectangle",D77&amp;"''x"&amp;E77&amp;"'' "&amp;PedestalSizes[[#This Row],[Shape / Category]],IF(PedestalSizes[[#This Row],[Shape / Category]]="Circle",F77&amp;"'' "&amp;PedestalSizes[[#This Row],[Shape / Category]],"")),"")</f>
        <v/>
      </c>
      <c r="K77" s="20"/>
      <c r="L77" s="20"/>
    </row>
    <row r="78" spans="1:12" x14ac:dyDescent="0.25">
      <c r="A78" s="20"/>
      <c r="B78" s="20"/>
      <c r="C78" s="20"/>
      <c r="D78" s="20"/>
      <c r="E78" s="20"/>
      <c r="F78" s="20"/>
      <c r="G78" s="20"/>
      <c r="H78" s="20" t="str">
        <f>IF(A78&lt;&gt;"",IF(PedestalSizes[[#This Row],[Shape / Category]]="Rectangle",D78&amp;"''x"&amp;E78&amp;"'' "&amp;PedestalSizes[[#This Row],[Shape / Category]],IF(PedestalSizes[[#This Row],[Shape / Category]]="Circle",F78&amp;"'' "&amp;PedestalSizes[[#This Row],[Shape / Category]],"")),"")</f>
        <v/>
      </c>
      <c r="K78" s="20"/>
      <c r="L78" s="20"/>
    </row>
    <row r="79" spans="1:12" x14ac:dyDescent="0.25">
      <c r="A79" s="20"/>
      <c r="B79" s="20"/>
      <c r="C79" s="20"/>
      <c r="D79" s="20"/>
      <c r="E79" s="20"/>
      <c r="F79" s="20"/>
      <c r="G79" s="20"/>
      <c r="H79" s="20" t="str">
        <f>IF(A79&lt;&gt;"",IF(PedestalSizes[[#This Row],[Shape / Category]]="Rectangle",D79&amp;"''x"&amp;E79&amp;"'' "&amp;PedestalSizes[[#This Row],[Shape / Category]],IF(PedestalSizes[[#This Row],[Shape / Category]]="Circle",F79&amp;"'' "&amp;PedestalSizes[[#This Row],[Shape / Category]],"")),"")</f>
        <v/>
      </c>
      <c r="K79" s="20"/>
      <c r="L79" s="20"/>
    </row>
    <row r="80" spans="1:12" x14ac:dyDescent="0.25">
      <c r="A80" s="20"/>
      <c r="B80" s="20"/>
      <c r="C80" s="20"/>
      <c r="D80" s="20"/>
      <c r="E80" s="20"/>
      <c r="F80" s="20"/>
      <c r="G80" s="20"/>
      <c r="H80" s="20" t="str">
        <f>IF(A80&lt;&gt;"",IF(PedestalSizes[[#This Row],[Shape / Category]]="Rectangle",D80&amp;"''x"&amp;E80&amp;"'' "&amp;PedestalSizes[[#This Row],[Shape / Category]],IF(PedestalSizes[[#This Row],[Shape / Category]]="Circle",F80&amp;"'' "&amp;PedestalSizes[[#This Row],[Shape / Category]],"")),"")</f>
        <v/>
      </c>
      <c r="K80" s="20"/>
      <c r="L80" s="20"/>
    </row>
    <row r="81" spans="1:12" x14ac:dyDescent="0.25">
      <c r="A81" s="20"/>
      <c r="B81" s="20"/>
      <c r="C81" s="20"/>
      <c r="D81" s="20"/>
      <c r="E81" s="20"/>
      <c r="F81" s="20"/>
      <c r="G81" s="20"/>
      <c r="H81" s="20" t="str">
        <f>IF(A81&lt;&gt;"",IF(PedestalSizes[[#This Row],[Shape / Category]]="Rectangle",D81&amp;"''x"&amp;E81&amp;"'' "&amp;PedestalSizes[[#This Row],[Shape / Category]],IF(PedestalSizes[[#This Row],[Shape / Category]]="Circle",F81&amp;"'' "&amp;PedestalSizes[[#This Row],[Shape / Category]],"")),"")</f>
        <v/>
      </c>
      <c r="K81" s="20"/>
      <c r="L81" s="20"/>
    </row>
    <row r="82" spans="1:12" x14ac:dyDescent="0.25">
      <c r="A82" s="20"/>
      <c r="B82" s="20"/>
      <c r="C82" s="20"/>
      <c r="D82" s="20"/>
      <c r="E82" s="20"/>
      <c r="F82" s="20"/>
      <c r="G82" s="20"/>
      <c r="H82" s="20" t="str">
        <f>IF(A82&lt;&gt;"",IF(PedestalSizes[[#This Row],[Shape / Category]]="Rectangle",D82&amp;"''x"&amp;E82&amp;"'' "&amp;PedestalSizes[[#This Row],[Shape / Category]],IF(PedestalSizes[[#This Row],[Shape / Category]]="Circle",F82&amp;"'' "&amp;PedestalSizes[[#This Row],[Shape / Category]],"")),"")</f>
        <v/>
      </c>
      <c r="K82" s="20"/>
      <c r="L82" s="20"/>
    </row>
    <row r="83" spans="1:12" x14ac:dyDescent="0.25">
      <c r="A83" s="20"/>
      <c r="B83" s="20"/>
      <c r="C83" s="20"/>
      <c r="D83" s="20"/>
      <c r="E83" s="20"/>
      <c r="F83" s="20"/>
      <c r="G83" s="20"/>
      <c r="H83" s="20" t="str">
        <f>IF(A83&lt;&gt;"",IF(PedestalSizes[[#This Row],[Shape / Category]]="Rectangle",D83&amp;"''x"&amp;E83&amp;"'' "&amp;PedestalSizes[[#This Row],[Shape / Category]],IF(PedestalSizes[[#This Row],[Shape / Category]]="Circle",F83&amp;"'' "&amp;PedestalSizes[[#This Row],[Shape / Category]],"")),"")</f>
        <v/>
      </c>
      <c r="K83" s="20"/>
      <c r="L83" s="20"/>
    </row>
    <row r="84" spans="1:12" x14ac:dyDescent="0.25">
      <c r="A84" s="20"/>
      <c r="B84" s="20"/>
      <c r="C84" s="20"/>
      <c r="D84" s="20"/>
      <c r="E84" s="20"/>
      <c r="F84" s="20"/>
      <c r="G84" s="20"/>
      <c r="H84" s="20" t="str">
        <f>IF(A84&lt;&gt;"",IF(PedestalSizes[[#This Row],[Shape / Category]]="Rectangle",D84&amp;"''x"&amp;E84&amp;"'' "&amp;PedestalSizes[[#This Row],[Shape / Category]],IF(PedestalSizes[[#This Row],[Shape / Category]]="Circle",F84&amp;"'' "&amp;PedestalSizes[[#This Row],[Shape / Category]],"")),"")</f>
        <v/>
      </c>
      <c r="K84" s="20"/>
      <c r="L84" s="20"/>
    </row>
    <row r="85" spans="1:12" x14ac:dyDescent="0.25">
      <c r="A85" s="20"/>
      <c r="B85" s="20"/>
      <c r="C85" s="20"/>
      <c r="D85" s="20"/>
      <c r="E85" s="20"/>
      <c r="F85" s="20"/>
      <c r="G85" s="20"/>
      <c r="H85" s="20" t="str">
        <f>IF(A85&lt;&gt;"",IF(PedestalSizes[[#This Row],[Shape / Category]]="Rectangle",D85&amp;"''x"&amp;E85&amp;"'' "&amp;PedestalSizes[[#This Row],[Shape / Category]],IF(PedestalSizes[[#This Row],[Shape / Category]]="Circle",F85&amp;"'' "&amp;PedestalSizes[[#This Row],[Shape / Category]],"")),"")</f>
        <v/>
      </c>
      <c r="K85" s="20"/>
      <c r="L85" s="20"/>
    </row>
    <row r="86" spans="1:12" x14ac:dyDescent="0.25">
      <c r="A86" s="20"/>
      <c r="B86" s="20"/>
      <c r="C86" s="20"/>
      <c r="D86" s="20"/>
      <c r="E86" s="20"/>
      <c r="F86" s="20"/>
      <c r="G86" s="20"/>
      <c r="H86" s="20" t="str">
        <f>IF(A86&lt;&gt;"",IF(PedestalSizes[[#This Row],[Shape / Category]]="Rectangle",D86&amp;"''x"&amp;E86&amp;"'' "&amp;PedestalSizes[[#This Row],[Shape / Category]],IF(PedestalSizes[[#This Row],[Shape / Category]]="Circle",F86&amp;"'' "&amp;PedestalSizes[[#This Row],[Shape / Category]],"")),"")</f>
        <v/>
      </c>
      <c r="K86" s="20"/>
      <c r="L86" s="20"/>
    </row>
    <row r="87" spans="1:12" x14ac:dyDescent="0.25">
      <c r="A87" s="20"/>
      <c r="B87" s="20"/>
      <c r="C87" s="20"/>
      <c r="D87" s="20"/>
      <c r="E87" s="20"/>
      <c r="F87" s="20"/>
      <c r="G87" s="20"/>
      <c r="H87" s="20" t="str">
        <f>IF(A87&lt;&gt;"",IF(PedestalSizes[[#This Row],[Shape / Category]]="Rectangle",D87&amp;"''x"&amp;E87&amp;"'' "&amp;PedestalSizes[[#This Row],[Shape / Category]],IF(PedestalSizes[[#This Row],[Shape / Category]]="Circle",F87&amp;"'' "&amp;PedestalSizes[[#This Row],[Shape / Category]],"")),"")</f>
        <v/>
      </c>
      <c r="K87" s="20"/>
      <c r="L87" s="20"/>
    </row>
    <row r="88" spans="1:12" x14ac:dyDescent="0.25">
      <c r="A88" s="20"/>
      <c r="B88" s="20"/>
      <c r="C88" s="20"/>
      <c r="D88" s="20"/>
      <c r="E88" s="20"/>
      <c r="F88" s="20"/>
      <c r="G88" s="20"/>
      <c r="H88" s="20" t="str">
        <f>IF(A88&lt;&gt;"",IF(PedestalSizes[[#This Row],[Shape / Category]]="Rectangle",D88&amp;"''x"&amp;E88&amp;"'' "&amp;PedestalSizes[[#This Row],[Shape / Category]],IF(PedestalSizes[[#This Row],[Shape / Category]]="Circle",F88&amp;"'' "&amp;PedestalSizes[[#This Row],[Shape / Category]],"")),"")</f>
        <v/>
      </c>
      <c r="K88" s="20"/>
      <c r="L88" s="20"/>
    </row>
    <row r="89" spans="1:12" x14ac:dyDescent="0.25">
      <c r="A89" s="20"/>
      <c r="B89" s="20"/>
      <c r="C89" s="20"/>
      <c r="D89" s="20"/>
      <c r="E89" s="20"/>
      <c r="F89" s="20"/>
      <c r="G89" s="20"/>
      <c r="H89" s="20" t="str">
        <f>IF(A89&lt;&gt;"",IF(PedestalSizes[[#This Row],[Shape / Category]]="Rectangle",D89&amp;"''x"&amp;E89&amp;"'' "&amp;PedestalSizes[[#This Row],[Shape / Category]],IF(PedestalSizes[[#This Row],[Shape / Category]]="Circle",F89&amp;"'' "&amp;PedestalSizes[[#This Row],[Shape / Category]],"")),"")</f>
        <v/>
      </c>
      <c r="K89" s="20"/>
      <c r="L89" s="20"/>
    </row>
    <row r="90" spans="1:12" x14ac:dyDescent="0.25">
      <c r="A90" s="20"/>
      <c r="B90" s="20"/>
      <c r="C90" s="20"/>
      <c r="D90" s="20"/>
      <c r="E90" s="20"/>
      <c r="F90" s="20"/>
      <c r="G90" s="20"/>
      <c r="H90" s="20" t="str">
        <f>IF(A90&lt;&gt;"",IF(PedestalSizes[[#This Row],[Shape / Category]]="Rectangle",D90&amp;"''x"&amp;E90&amp;"'' "&amp;PedestalSizes[[#This Row],[Shape / Category]],IF(PedestalSizes[[#This Row],[Shape / Category]]="Circle",F90&amp;"'' "&amp;PedestalSizes[[#This Row],[Shape / Category]],"")),"")</f>
        <v/>
      </c>
      <c r="K90" s="20"/>
      <c r="L90" s="20"/>
    </row>
    <row r="91" spans="1:12" x14ac:dyDescent="0.25">
      <c r="A91" s="20"/>
      <c r="B91" s="20"/>
      <c r="C91" s="20"/>
      <c r="D91" s="20"/>
      <c r="E91" s="20"/>
      <c r="F91" s="20"/>
      <c r="G91" s="20"/>
      <c r="H91" s="20" t="str">
        <f>IF(A91&lt;&gt;"",IF(PedestalSizes[[#This Row],[Shape / Category]]="Rectangle",D91&amp;"''x"&amp;E91&amp;"'' "&amp;PedestalSizes[[#This Row],[Shape / Category]],IF(PedestalSizes[[#This Row],[Shape / Category]]="Circle",F91&amp;"'' "&amp;PedestalSizes[[#This Row],[Shape / Category]],"")),"")</f>
        <v/>
      </c>
      <c r="K91" s="20"/>
      <c r="L91" s="20"/>
    </row>
    <row r="92" spans="1:12" x14ac:dyDescent="0.25">
      <c r="A92" s="20"/>
      <c r="B92" s="20"/>
      <c r="C92" s="20"/>
      <c r="D92" s="20"/>
      <c r="E92" s="20"/>
      <c r="F92" s="20"/>
      <c r="G92" s="20"/>
      <c r="H92" s="20" t="str">
        <f>IF(A92&lt;&gt;"",IF(PedestalSizes[[#This Row],[Shape / Category]]="Rectangle",D92&amp;"''x"&amp;E92&amp;"'' "&amp;PedestalSizes[[#This Row],[Shape / Category]],IF(PedestalSizes[[#This Row],[Shape / Category]]="Circle",F92&amp;"'' "&amp;PedestalSizes[[#This Row],[Shape / Category]],"")),"")</f>
        <v/>
      </c>
      <c r="K92" s="20"/>
      <c r="L92" s="20"/>
    </row>
    <row r="93" spans="1:12" x14ac:dyDescent="0.25">
      <c r="A93" s="20"/>
      <c r="B93" s="20"/>
      <c r="C93" s="20"/>
      <c r="D93" s="20"/>
      <c r="E93" s="20"/>
      <c r="F93" s="20"/>
      <c r="G93" s="20"/>
      <c r="H93" s="20" t="str">
        <f>IF(A93&lt;&gt;"",IF(PedestalSizes[[#This Row],[Shape / Category]]="Rectangle",D93&amp;"''x"&amp;E93&amp;"'' "&amp;PedestalSizes[[#This Row],[Shape / Category]],IF(PedestalSizes[[#This Row],[Shape / Category]]="Circle",F93&amp;"'' "&amp;PedestalSizes[[#This Row],[Shape / Category]],"")),"")</f>
        <v/>
      </c>
      <c r="K93" s="20"/>
      <c r="L93" s="20"/>
    </row>
    <row r="94" spans="1:12" x14ac:dyDescent="0.25">
      <c r="A94" s="20"/>
      <c r="B94" s="20"/>
      <c r="C94" s="20"/>
      <c r="D94" s="20"/>
      <c r="E94" s="20"/>
      <c r="F94" s="20"/>
      <c r="G94" s="20"/>
      <c r="H94" s="20" t="str">
        <f>IF(A94&lt;&gt;"",IF(PedestalSizes[[#This Row],[Shape / Category]]="Rectangle",D94&amp;"''x"&amp;E94&amp;"'' "&amp;PedestalSizes[[#This Row],[Shape / Category]],IF(PedestalSizes[[#This Row],[Shape / Category]]="Circle",F94&amp;"'' "&amp;PedestalSizes[[#This Row],[Shape / Category]],"")),"")</f>
        <v/>
      </c>
      <c r="K94" s="20"/>
      <c r="L94" s="20"/>
    </row>
    <row r="95" spans="1:12" x14ac:dyDescent="0.25">
      <c r="A95" s="20"/>
      <c r="B95" s="20"/>
      <c r="C95" s="20"/>
      <c r="D95" s="20"/>
      <c r="E95" s="20"/>
      <c r="F95" s="20"/>
      <c r="G95" s="20"/>
      <c r="H95" s="20" t="str">
        <f>IF(A95&lt;&gt;"",IF(PedestalSizes[[#This Row],[Shape / Category]]="Rectangle",D95&amp;"''x"&amp;E95&amp;"'' "&amp;PedestalSizes[[#This Row],[Shape / Category]],IF(PedestalSizes[[#This Row],[Shape / Category]]="Circle",F95&amp;"'' "&amp;PedestalSizes[[#This Row],[Shape / Category]],"")),"")</f>
        <v/>
      </c>
      <c r="K95" s="20"/>
      <c r="L95" s="20"/>
    </row>
    <row r="96" spans="1:12" x14ac:dyDescent="0.25">
      <c r="A96" s="20"/>
      <c r="B96" s="20"/>
      <c r="C96" s="20"/>
      <c r="D96" s="20"/>
      <c r="E96" s="20"/>
      <c r="F96" s="20"/>
      <c r="G96" s="20"/>
      <c r="H96" s="20" t="str">
        <f>IF(A96&lt;&gt;"",IF(PedestalSizes[[#This Row],[Shape / Category]]="Rectangle",D96&amp;"''x"&amp;E96&amp;"'' "&amp;PedestalSizes[[#This Row],[Shape / Category]],IF(PedestalSizes[[#This Row],[Shape / Category]]="Circle",F96&amp;"'' "&amp;PedestalSizes[[#This Row],[Shape / Category]],"")),"")</f>
        <v/>
      </c>
      <c r="K96" s="20"/>
      <c r="L96" s="20"/>
    </row>
    <row r="97" spans="1:12" x14ac:dyDescent="0.25">
      <c r="A97" s="20"/>
      <c r="B97" s="20"/>
      <c r="C97" s="20"/>
      <c r="D97" s="20"/>
      <c r="E97" s="20"/>
      <c r="F97" s="20"/>
      <c r="G97" s="20"/>
      <c r="H97" s="20" t="str">
        <f>IF(A97&lt;&gt;"",IF(PedestalSizes[[#This Row],[Shape / Category]]="Rectangle",D97&amp;"''x"&amp;E97&amp;"'' "&amp;PedestalSizes[[#This Row],[Shape / Category]],IF(PedestalSizes[[#This Row],[Shape / Category]]="Circle",F97&amp;"'' "&amp;PedestalSizes[[#This Row],[Shape / Category]],"")),"")</f>
        <v/>
      </c>
      <c r="K97" s="20"/>
      <c r="L97" s="20"/>
    </row>
    <row r="98" spans="1:12" x14ac:dyDescent="0.25">
      <c r="A98" s="20"/>
      <c r="B98" s="20"/>
      <c r="C98" s="20"/>
      <c r="D98" s="20"/>
      <c r="E98" s="20"/>
      <c r="F98" s="20"/>
      <c r="G98" s="20"/>
      <c r="H98" s="20" t="str">
        <f>IF(A98&lt;&gt;"",IF(PedestalSizes[[#This Row],[Shape / Category]]="Rectangle",D98&amp;"''x"&amp;E98&amp;"'' "&amp;PedestalSizes[[#This Row],[Shape / Category]],IF(PedestalSizes[[#This Row],[Shape / Category]]="Circle",F98&amp;"'' "&amp;PedestalSizes[[#This Row],[Shape / Category]],"")),"")</f>
        <v/>
      </c>
      <c r="K98" s="20"/>
      <c r="L98" s="20"/>
    </row>
    <row r="99" spans="1:12" x14ac:dyDescent="0.25">
      <c r="A99" s="20"/>
      <c r="B99" s="20"/>
      <c r="C99" s="20"/>
      <c r="D99" s="20"/>
      <c r="E99" s="20"/>
      <c r="F99" s="20"/>
      <c r="G99" s="20"/>
      <c r="H99" s="20" t="str">
        <f>IF(A99&lt;&gt;"",IF(PedestalSizes[[#This Row],[Shape / Category]]="Rectangle",D99&amp;"''x"&amp;E99&amp;"'' "&amp;PedestalSizes[[#This Row],[Shape / Category]],IF(PedestalSizes[[#This Row],[Shape / Category]]="Circle",F99&amp;"'' "&amp;PedestalSizes[[#This Row],[Shape / Category]],"")),"")</f>
        <v/>
      </c>
      <c r="K99" s="20"/>
      <c r="L99" s="20"/>
    </row>
    <row r="100" spans="1:12" x14ac:dyDescent="0.25">
      <c r="A100" s="20"/>
      <c r="B100" s="20"/>
      <c r="C100" s="20"/>
      <c r="D100" s="20"/>
      <c r="E100" s="20"/>
      <c r="F100" s="20"/>
      <c r="G100" s="20"/>
      <c r="H100" s="20" t="str">
        <f>IF(A100&lt;&gt;"",IF(PedestalSizes[[#This Row],[Shape / Category]]="Rectangle",D100&amp;"''x"&amp;E100&amp;"'' "&amp;PedestalSizes[[#This Row],[Shape / Category]],IF(PedestalSizes[[#This Row],[Shape / Category]]="Circle",F100&amp;"'' "&amp;PedestalSizes[[#This Row],[Shape / Category]],"")),"")</f>
        <v/>
      </c>
      <c r="K100" s="20"/>
      <c r="L100" s="20"/>
    </row>
    <row r="101" spans="1:12" x14ac:dyDescent="0.25">
      <c r="A101" s="20"/>
      <c r="B101" s="20"/>
      <c r="C101" s="20"/>
      <c r="D101" s="20"/>
      <c r="E101" s="20"/>
      <c r="F101" s="20"/>
      <c r="G101" s="20"/>
      <c r="H101" s="20" t="str">
        <f>IF(A101&lt;&gt;"",IF(PedestalSizes[[#This Row],[Shape / Category]]="Rectangle",D101&amp;"''x"&amp;E101&amp;"'' "&amp;PedestalSizes[[#This Row],[Shape / Category]],IF(PedestalSizes[[#This Row],[Shape / Category]]="Circle",F101&amp;"'' "&amp;PedestalSizes[[#This Row],[Shape / Category]],"")),"")</f>
        <v/>
      </c>
      <c r="K101" s="20"/>
      <c r="L101" s="20"/>
    </row>
    <row r="102" spans="1:12" x14ac:dyDescent="0.25">
      <c r="A102" s="20"/>
      <c r="B102" s="20"/>
      <c r="C102" s="20"/>
      <c r="D102" s="20"/>
      <c r="E102" s="20"/>
      <c r="F102" s="20"/>
      <c r="G102" s="20"/>
      <c r="H102" s="20" t="str">
        <f>IF(A102&lt;&gt;"",IF(PedestalSizes[[#This Row],[Shape / Category]]="Rectangle",D102&amp;"''x"&amp;E102&amp;"'' "&amp;PedestalSizes[[#This Row],[Shape / Category]],IF(PedestalSizes[[#This Row],[Shape / Category]]="Circle",F102&amp;"'' "&amp;PedestalSizes[[#This Row],[Shape / Category]],"")),"")</f>
        <v/>
      </c>
      <c r="K102" s="20"/>
      <c r="L102" s="20"/>
    </row>
    <row r="103" spans="1:12" x14ac:dyDescent="0.25">
      <c r="A103" s="20"/>
      <c r="B103" s="20"/>
      <c r="C103" s="20"/>
      <c r="D103" s="20"/>
      <c r="E103" s="20"/>
      <c r="F103" s="20"/>
      <c r="G103" s="20"/>
      <c r="H103" s="20" t="str">
        <f>IF(A103&lt;&gt;"",IF(PedestalSizes[[#This Row],[Shape / Category]]="Rectangle",D103&amp;"''x"&amp;E103&amp;"'' "&amp;PedestalSizes[[#This Row],[Shape / Category]],IF(PedestalSizes[[#This Row],[Shape / Category]]="Circle",F103&amp;"'' "&amp;PedestalSizes[[#This Row],[Shape / Category]],"")),"")</f>
        <v/>
      </c>
      <c r="K103" s="20"/>
      <c r="L103" s="20"/>
    </row>
    <row r="104" spans="1:12" x14ac:dyDescent="0.25">
      <c r="A104" s="20"/>
      <c r="B104" s="20"/>
      <c r="C104" s="20"/>
      <c r="D104" s="20"/>
      <c r="E104" s="20"/>
      <c r="F104" s="20"/>
      <c r="G104" s="20"/>
      <c r="H104" s="20" t="str">
        <f>IF(A104&lt;&gt;"",IF(PedestalSizes[[#This Row],[Shape / Category]]="Rectangle",D104&amp;"''x"&amp;E104&amp;"'' "&amp;PedestalSizes[[#This Row],[Shape / Category]],IF(PedestalSizes[[#This Row],[Shape / Category]]="Circle",F104&amp;"'' "&amp;PedestalSizes[[#This Row],[Shape / Category]],"")),"")</f>
        <v/>
      </c>
      <c r="K104" s="20"/>
      <c r="L104" s="20"/>
    </row>
  </sheetData>
  <mergeCells count="4">
    <mergeCell ref="A3:H3"/>
    <mergeCell ref="K3:L3"/>
    <mergeCell ref="M3:N3"/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9"/>
  <sheetViews>
    <sheetView workbookViewId="0">
      <pane ySplit="3" topLeftCell="A64" activePane="bottomLeft" state="frozen"/>
      <selection pane="bottomLeft" activeCell="B8" sqref="B8"/>
    </sheetView>
  </sheetViews>
  <sheetFormatPr defaultRowHeight="15" x14ac:dyDescent="0.25"/>
  <cols>
    <col min="1" max="2" width="12.7109375" style="4" customWidth="1"/>
    <col min="3" max="3" width="16.7109375" style="4" customWidth="1"/>
    <col min="4" max="5" width="18.7109375" style="4" customWidth="1"/>
    <col min="6" max="6" width="22.7109375" style="4" customWidth="1"/>
    <col min="7" max="7" width="38.7109375" style="4" customWidth="1"/>
    <col min="8" max="8" width="56.7109375" style="4" customWidth="1"/>
    <col min="9" max="9" width="24.7109375" style="4" customWidth="1"/>
    <col min="10" max="10" width="18.7109375" style="4" customWidth="1"/>
  </cols>
  <sheetData>
    <row r="1" spans="1:11" ht="27.95" customHeight="1" x14ac:dyDescent="0.35">
      <c r="A1" s="11" t="s">
        <v>45</v>
      </c>
      <c r="B1" s="11"/>
      <c r="C1" s="11"/>
      <c r="D1" s="11"/>
      <c r="E1" s="11"/>
      <c r="F1" s="11"/>
      <c r="G1" s="11"/>
      <c r="H1" s="11"/>
      <c r="I1" s="11"/>
      <c r="J1" s="12"/>
      <c r="K1" s="12"/>
    </row>
    <row r="3" spans="1:11" s="13" customFormat="1" ht="45" customHeight="1" x14ac:dyDescent="0.25">
      <c r="A3" s="13" t="s">
        <v>7</v>
      </c>
      <c r="B3" s="13" t="s">
        <v>12</v>
      </c>
      <c r="C3" s="13" t="s">
        <v>46</v>
      </c>
      <c r="D3" s="13" t="s">
        <v>47</v>
      </c>
      <c r="E3" s="13" t="s">
        <v>48</v>
      </c>
      <c r="F3" s="13" t="s">
        <v>10</v>
      </c>
      <c r="G3" s="13" t="s">
        <v>49</v>
      </c>
      <c r="H3" s="13" t="s">
        <v>50</v>
      </c>
      <c r="I3" s="13" t="s">
        <v>8</v>
      </c>
    </row>
    <row r="4" spans="1:11" x14ac:dyDescent="0.25">
      <c r="A4" s="14">
        <f>IF(ROW()-3&lt;=Parameters!$N$7,INT((ROW()-4)/Parameters!$N$6)+1,"")</f>
        <v>1</v>
      </c>
      <c r="B4" s="14">
        <f>IF(A4="","",MOD(ROW()-4,Parameters!$N$6)+1)</f>
        <v>1</v>
      </c>
      <c r="C4" s="14" t="str">
        <f t="shared" ref="C4:C35" si="0">IF(A4="","",A4&amp;"-"&amp;B4)</f>
        <v>1-1</v>
      </c>
      <c r="D4" s="14" t="str" cm="1">
        <f t="array" ref="D4">IF(B4="","",INDEX(Parameters!$L$5:$L$104,B4))</f>
        <v>Standard</v>
      </c>
      <c r="E4" s="14" t="str" cm="1">
        <f t="array" ref="E4">IF(A4="","",INDEX(Parameters!$C$5:$C$104,A4))</f>
        <v>Rectangle</v>
      </c>
      <c r="F4" s="14" t="str" cm="1">
        <f t="array" ref="F4">IF(A4="","",INDEX(Parameters!$G$5:$G$104,A4))</f>
        <v>STANDARD RECTANGLE</v>
      </c>
      <c r="G4" s="15" t="str">
        <f t="shared" ref="G4:G35" si="1">IF(F4="","",F4&amp;"_"&amp;UPPER(SUBSTITUTE(D4," ","_")))</f>
        <v>STANDARD RECTANGLE_STANDARD</v>
      </c>
      <c r="H4" s="15" t="str">
        <f t="shared" ref="H4:H35" si="2">IF(A4="","",I4&amp;" / "&amp;E4&amp;" / Visibility: "&amp;D4)</f>
        <v>8x8 PEDESTAL / Rectangle / Visibility: Standard</v>
      </c>
      <c r="I4" s="14" t="str" cm="1">
        <f t="array" ref="I4">IF(A4="","",INDEX(Parameters!$B$5:$B$104,A4))</f>
        <v>8x8 PEDESTAL</v>
      </c>
      <c r="J4"/>
    </row>
    <row r="5" spans="1:11" x14ac:dyDescent="0.25">
      <c r="A5" s="14">
        <f>IF(ROW()-3&lt;=Parameters!$N$7,INT((ROW()-4)/Parameters!$N$6)+1,"")</f>
        <v>1</v>
      </c>
      <c r="B5" s="14">
        <f>IF(A5="","",MOD(ROW()-4,Parameters!$N$6)+1)</f>
        <v>2</v>
      </c>
      <c r="C5" s="14" t="str">
        <f t="shared" si="0"/>
        <v>1-2</v>
      </c>
      <c r="D5" s="14" t="str" cm="1">
        <f t="array" ref="D5">IF(B5="","",INDEX(Parameters!$L$5:$L$104,B5))</f>
        <v>With Label</v>
      </c>
      <c r="E5" s="14" t="str" cm="1">
        <f t="array" ref="E5">IF(A5="","",INDEX(Parameters!$C$5:$C$104,A5))</f>
        <v>Rectangle</v>
      </c>
      <c r="F5" s="14" t="str" cm="1">
        <f t="array" ref="F5">IF(A5="","",INDEX(Parameters!$G$5:$G$104,A5))</f>
        <v>STANDARD RECTANGLE</v>
      </c>
      <c r="G5" s="15" t="str">
        <f t="shared" si="1"/>
        <v>STANDARD RECTANGLE_WITH_LABEL</v>
      </c>
      <c r="H5" s="15" t="str">
        <f t="shared" si="2"/>
        <v>8x8 PEDESTAL / Rectangle / Visibility: With Label</v>
      </c>
      <c r="I5" s="14" t="str" cm="1">
        <f t="array" ref="I5">IF(A5="","",INDEX(Parameters!$B$5:$B$104,A5))</f>
        <v>8x8 PEDESTAL</v>
      </c>
      <c r="J5"/>
    </row>
    <row r="6" spans="1:11" x14ac:dyDescent="0.25">
      <c r="A6" s="14">
        <f>IF(ROW()-3&lt;=Parameters!$N$7,INT((ROW()-4)/Parameters!$N$6)+1,"")</f>
        <v>1</v>
      </c>
      <c r="B6" s="14">
        <f>IF(A6="","",MOD(ROW()-4,Parameters!$N$6)+1)</f>
        <v>3</v>
      </c>
      <c r="C6" s="14" t="str">
        <f t="shared" si="0"/>
        <v>1-3</v>
      </c>
      <c r="D6" s="14" t="str" cm="1">
        <f t="array" ref="D6">IF(B6="","",INDEX(Parameters!$L$5:$L$104,B6))</f>
        <v>With Callout</v>
      </c>
      <c r="E6" s="14" t="str" cm="1">
        <f t="array" ref="E6">IF(A6="","",INDEX(Parameters!$C$5:$C$104,A6))</f>
        <v>Rectangle</v>
      </c>
      <c r="F6" s="14" t="str" cm="1">
        <f t="array" ref="F6">IF(A6="","",INDEX(Parameters!$G$5:$G$104,A6))</f>
        <v>STANDARD RECTANGLE</v>
      </c>
      <c r="G6" s="15" t="str">
        <f t="shared" si="1"/>
        <v>STANDARD RECTANGLE_WITH_CALLOUT</v>
      </c>
      <c r="H6" s="15" t="str">
        <f t="shared" si="2"/>
        <v>8x8 PEDESTAL / Rectangle / Visibility: With Callout</v>
      </c>
      <c r="I6" s="14" t="str" cm="1">
        <f t="array" ref="I6">IF(A6="","",INDEX(Parameters!$B$5:$B$104,A6))</f>
        <v>8x8 PEDESTAL</v>
      </c>
      <c r="J6"/>
    </row>
    <row r="7" spans="1:11" x14ac:dyDescent="0.25">
      <c r="A7" s="14">
        <f>IF(ROW()-3&lt;=Parameters!$N$7,INT((ROW()-4)/Parameters!$N$6)+1,"")</f>
        <v>1</v>
      </c>
      <c r="B7" s="14">
        <f>IF(A7="","",MOD(ROW()-4,Parameters!$N$6)+1)</f>
        <v>4</v>
      </c>
      <c r="C7" s="14" t="str">
        <f t="shared" si="0"/>
        <v>1-4</v>
      </c>
      <c r="D7" s="14" t="str" cm="1">
        <f t="array" ref="D7">IF(B7="","",INDEX(Parameters!$L$5:$L$104,B7))</f>
        <v>Existing</v>
      </c>
      <c r="E7" s="14" t="str" cm="1">
        <f t="array" ref="E7">IF(A7="","",INDEX(Parameters!$C$5:$C$104,A7))</f>
        <v>Rectangle</v>
      </c>
      <c r="F7" s="14" t="str" cm="1">
        <f t="array" ref="F7">IF(A7="","",INDEX(Parameters!$G$5:$G$104,A7))</f>
        <v>STANDARD RECTANGLE</v>
      </c>
      <c r="G7" s="15" t="str">
        <f t="shared" si="1"/>
        <v>STANDARD RECTANGLE_EXISTING</v>
      </c>
      <c r="H7" s="15" t="str">
        <f t="shared" si="2"/>
        <v>8x8 PEDESTAL / Rectangle / Visibility: Existing</v>
      </c>
      <c r="I7" s="14" t="str" cm="1">
        <f t="array" ref="I7">IF(A7="","",INDEX(Parameters!$B$5:$B$104,A7))</f>
        <v>8x8 PEDESTAL</v>
      </c>
      <c r="J7"/>
    </row>
    <row r="8" spans="1:11" x14ac:dyDescent="0.25">
      <c r="A8" s="14">
        <f>IF(ROW()-3&lt;=Parameters!$N$7,INT((ROW()-4)/Parameters!$N$6)+1,"")</f>
        <v>1</v>
      </c>
      <c r="B8" s="14">
        <f>IF(A8="","",MOD(ROW()-4,Parameters!$N$6)+1)</f>
        <v>5</v>
      </c>
      <c r="C8" s="14" t="str">
        <f t="shared" si="0"/>
        <v>1-5</v>
      </c>
      <c r="D8" s="14" t="str" cm="1">
        <f t="array" ref="D8">IF(B8="","",INDEX(Parameters!$L$5:$L$104,B8))</f>
        <v>Proposed</v>
      </c>
      <c r="E8" s="14" t="str" cm="1">
        <f t="array" ref="E8">IF(A8="","",INDEX(Parameters!$C$5:$C$104,A8))</f>
        <v>Rectangle</v>
      </c>
      <c r="F8" s="14" t="str" cm="1">
        <f t="array" ref="F8">IF(A8="","",INDEX(Parameters!$G$5:$G$104,A8))</f>
        <v>STANDARD RECTANGLE</v>
      </c>
      <c r="G8" s="15" t="str">
        <f t="shared" si="1"/>
        <v>STANDARD RECTANGLE_PROPOSED</v>
      </c>
      <c r="H8" s="15" t="str">
        <f t="shared" si="2"/>
        <v>8x8 PEDESTAL / Rectangle / Visibility: Proposed</v>
      </c>
      <c r="I8" s="14" t="str" cm="1">
        <f t="array" ref="I8">IF(A8="","",INDEX(Parameters!$B$5:$B$104,A8))</f>
        <v>8x8 PEDESTAL</v>
      </c>
      <c r="J8"/>
    </row>
    <row r="9" spans="1:11" x14ac:dyDescent="0.25">
      <c r="A9" s="14">
        <f>IF(ROW()-3&lt;=Parameters!$N$7,INT((ROW()-4)/Parameters!$N$6)+1,"")</f>
        <v>2</v>
      </c>
      <c r="B9" s="14">
        <f>IF(A9="","",MOD(ROW()-4,Parameters!$N$6)+1)</f>
        <v>1</v>
      </c>
      <c r="C9" s="14" t="str">
        <f t="shared" si="0"/>
        <v>2-1</v>
      </c>
      <c r="D9" s="14" t="str" cm="1">
        <f t="array" ref="D9">IF(B9="","",INDEX(Parameters!$L$5:$L$104,B9))</f>
        <v>Standard</v>
      </c>
      <c r="E9" s="14" t="str" cm="1">
        <f t="array" ref="E9">IF(A9="","",INDEX(Parameters!$C$5:$C$104,A9))</f>
        <v>Rectangle</v>
      </c>
      <c r="F9" s="14" t="str" cm="1">
        <f t="array" ref="F9">IF(A9="","",INDEX(Parameters!$G$5:$G$104,A9))</f>
        <v>STANDARD RECTANGLE</v>
      </c>
      <c r="G9" s="15" t="str">
        <f t="shared" si="1"/>
        <v>STANDARD RECTANGLE_STANDARD</v>
      </c>
      <c r="H9" s="15" t="str">
        <f t="shared" si="2"/>
        <v>12x12 PEDESTAL / Rectangle / Visibility: Standard</v>
      </c>
      <c r="I9" s="14" t="str" cm="1">
        <f t="array" ref="I9">IF(A9="","",INDEX(Parameters!$B$5:$B$104,A9))</f>
        <v>12x12 PEDESTAL</v>
      </c>
      <c r="J9"/>
    </row>
    <row r="10" spans="1:11" x14ac:dyDescent="0.25">
      <c r="A10" s="14">
        <f>IF(ROW()-3&lt;=Parameters!$N$7,INT((ROW()-4)/Parameters!$N$6)+1,"")</f>
        <v>2</v>
      </c>
      <c r="B10" s="14">
        <f>IF(A10="","",MOD(ROW()-4,Parameters!$N$6)+1)</f>
        <v>2</v>
      </c>
      <c r="C10" s="14" t="str">
        <f t="shared" si="0"/>
        <v>2-2</v>
      </c>
      <c r="D10" s="14" t="str" cm="1">
        <f t="array" ref="D10">IF(B10="","",INDEX(Parameters!$L$5:$L$104,B10))</f>
        <v>With Label</v>
      </c>
      <c r="E10" s="14" t="str" cm="1">
        <f t="array" ref="E10">IF(A10="","",INDEX(Parameters!$C$5:$C$104,A10))</f>
        <v>Rectangle</v>
      </c>
      <c r="F10" s="14" t="str" cm="1">
        <f t="array" ref="F10">IF(A10="","",INDEX(Parameters!$G$5:$G$104,A10))</f>
        <v>STANDARD RECTANGLE</v>
      </c>
      <c r="G10" s="15" t="str">
        <f t="shared" si="1"/>
        <v>STANDARD RECTANGLE_WITH_LABEL</v>
      </c>
      <c r="H10" s="15" t="str">
        <f t="shared" si="2"/>
        <v>12x12 PEDESTAL / Rectangle / Visibility: With Label</v>
      </c>
      <c r="I10" s="14" t="str" cm="1">
        <f t="array" ref="I10">IF(A10="","",INDEX(Parameters!$B$5:$B$104,A10))</f>
        <v>12x12 PEDESTAL</v>
      </c>
      <c r="J10"/>
    </row>
    <row r="11" spans="1:11" x14ac:dyDescent="0.25">
      <c r="A11" s="14">
        <f>IF(ROW()-3&lt;=Parameters!$N$7,INT((ROW()-4)/Parameters!$N$6)+1,"")</f>
        <v>2</v>
      </c>
      <c r="B11" s="14">
        <f>IF(A11="","",MOD(ROW()-4,Parameters!$N$6)+1)</f>
        <v>3</v>
      </c>
      <c r="C11" s="14" t="str">
        <f t="shared" si="0"/>
        <v>2-3</v>
      </c>
      <c r="D11" s="14" t="str" cm="1">
        <f t="array" ref="D11">IF(B11="","",INDEX(Parameters!$L$5:$L$104,B11))</f>
        <v>With Callout</v>
      </c>
      <c r="E11" s="14" t="str" cm="1">
        <f t="array" ref="E11">IF(A11="","",INDEX(Parameters!$C$5:$C$104,A11))</f>
        <v>Rectangle</v>
      </c>
      <c r="F11" s="14" t="str" cm="1">
        <f t="array" ref="F11">IF(A11="","",INDEX(Parameters!$G$5:$G$104,A11))</f>
        <v>STANDARD RECTANGLE</v>
      </c>
      <c r="G11" s="15" t="str">
        <f t="shared" si="1"/>
        <v>STANDARD RECTANGLE_WITH_CALLOUT</v>
      </c>
      <c r="H11" s="15" t="str">
        <f t="shared" si="2"/>
        <v>12x12 PEDESTAL / Rectangle / Visibility: With Callout</v>
      </c>
      <c r="I11" s="14" t="str" cm="1">
        <f t="array" ref="I11">IF(A11="","",INDEX(Parameters!$B$5:$B$104,A11))</f>
        <v>12x12 PEDESTAL</v>
      </c>
      <c r="J11"/>
    </row>
    <row r="12" spans="1:11" x14ac:dyDescent="0.25">
      <c r="A12" s="14">
        <f>IF(ROW()-3&lt;=Parameters!$N$7,INT((ROW()-4)/Parameters!$N$6)+1,"")</f>
        <v>2</v>
      </c>
      <c r="B12" s="14">
        <f>IF(A12="","",MOD(ROW()-4,Parameters!$N$6)+1)</f>
        <v>4</v>
      </c>
      <c r="C12" s="14" t="str">
        <f t="shared" si="0"/>
        <v>2-4</v>
      </c>
      <c r="D12" s="14" t="str" cm="1">
        <f t="array" ref="D12">IF(B12="","",INDEX(Parameters!$L$5:$L$104,B12))</f>
        <v>Existing</v>
      </c>
      <c r="E12" s="14" t="str" cm="1">
        <f t="array" ref="E12">IF(A12="","",INDEX(Parameters!$C$5:$C$104,A12))</f>
        <v>Rectangle</v>
      </c>
      <c r="F12" s="14" t="str" cm="1">
        <f t="array" ref="F12">IF(A12="","",INDEX(Parameters!$G$5:$G$104,A12))</f>
        <v>STANDARD RECTANGLE</v>
      </c>
      <c r="G12" s="15" t="str">
        <f t="shared" si="1"/>
        <v>STANDARD RECTANGLE_EXISTING</v>
      </c>
      <c r="H12" s="15" t="str">
        <f t="shared" si="2"/>
        <v>12x12 PEDESTAL / Rectangle / Visibility: Existing</v>
      </c>
      <c r="I12" s="14" t="str" cm="1">
        <f t="array" ref="I12">IF(A12="","",INDEX(Parameters!$B$5:$B$104,A12))</f>
        <v>12x12 PEDESTAL</v>
      </c>
      <c r="J12"/>
    </row>
    <row r="13" spans="1:11" x14ac:dyDescent="0.25">
      <c r="A13" s="14">
        <f>IF(ROW()-3&lt;=Parameters!$N$7,INT((ROW()-4)/Parameters!$N$6)+1,"")</f>
        <v>2</v>
      </c>
      <c r="B13" s="14">
        <f>IF(A13="","",MOD(ROW()-4,Parameters!$N$6)+1)</f>
        <v>5</v>
      </c>
      <c r="C13" s="14" t="str">
        <f t="shared" si="0"/>
        <v>2-5</v>
      </c>
      <c r="D13" s="14" t="str" cm="1">
        <f t="array" ref="D13">IF(B13="","",INDEX(Parameters!$L$5:$L$104,B13))</f>
        <v>Proposed</v>
      </c>
      <c r="E13" s="14" t="str" cm="1">
        <f t="array" ref="E13">IF(A13="","",INDEX(Parameters!$C$5:$C$104,A13))</f>
        <v>Rectangle</v>
      </c>
      <c r="F13" s="14" t="str" cm="1">
        <f t="array" ref="F13">IF(A13="","",INDEX(Parameters!$G$5:$G$104,A13))</f>
        <v>STANDARD RECTANGLE</v>
      </c>
      <c r="G13" s="15" t="str">
        <f t="shared" si="1"/>
        <v>STANDARD RECTANGLE_PROPOSED</v>
      </c>
      <c r="H13" s="15" t="str">
        <f t="shared" si="2"/>
        <v>12x12 PEDESTAL / Rectangle / Visibility: Proposed</v>
      </c>
      <c r="I13" s="14" t="str" cm="1">
        <f t="array" ref="I13">IF(A13="","",INDEX(Parameters!$B$5:$B$104,A13))</f>
        <v>12x12 PEDESTAL</v>
      </c>
      <c r="J13"/>
    </row>
    <row r="14" spans="1:11" x14ac:dyDescent="0.25">
      <c r="A14" s="14">
        <f>IF(ROW()-3&lt;=Parameters!$N$7,INT((ROW()-4)/Parameters!$N$6)+1,"")</f>
        <v>3</v>
      </c>
      <c r="B14" s="14">
        <f>IF(A14="","",MOD(ROW()-4,Parameters!$N$6)+1)</f>
        <v>1</v>
      </c>
      <c r="C14" s="14" t="str">
        <f t="shared" si="0"/>
        <v>3-1</v>
      </c>
      <c r="D14" s="14" t="str" cm="1">
        <f t="array" ref="D14">IF(B14="","",INDEX(Parameters!$L$5:$L$104,B14))</f>
        <v>Standard</v>
      </c>
      <c r="E14" s="14" t="str" cm="1">
        <f t="array" ref="E14">IF(A14="","",INDEX(Parameters!$C$5:$C$104,A14))</f>
        <v>Rectangle</v>
      </c>
      <c r="F14" s="14" t="str" cm="1">
        <f t="array" ref="F14">IF(A14="","",INDEX(Parameters!$G$5:$G$104,A14))</f>
        <v>STANDARD RECTANGLE</v>
      </c>
      <c r="G14" s="15" t="str">
        <f t="shared" si="1"/>
        <v>STANDARD RECTANGLE_STANDARD</v>
      </c>
      <c r="H14" s="15" t="str">
        <f t="shared" si="2"/>
        <v>12x24 PEDESTAL / Rectangle / Visibility: Standard</v>
      </c>
      <c r="I14" s="14" t="str" cm="1">
        <f t="array" ref="I14">IF(A14="","",INDEX(Parameters!$B$5:$B$104,A14))</f>
        <v>12x24 PEDESTAL</v>
      </c>
      <c r="J14"/>
    </row>
    <row r="15" spans="1:11" x14ac:dyDescent="0.25">
      <c r="A15" s="14">
        <f>IF(ROW()-3&lt;=Parameters!$N$7,INT((ROW()-4)/Parameters!$N$6)+1,"")</f>
        <v>3</v>
      </c>
      <c r="B15" s="14">
        <f>IF(A15="","",MOD(ROW()-4,Parameters!$N$6)+1)</f>
        <v>2</v>
      </c>
      <c r="C15" s="14" t="str">
        <f t="shared" si="0"/>
        <v>3-2</v>
      </c>
      <c r="D15" s="14" t="str" cm="1">
        <f t="array" ref="D15">IF(B15="","",INDEX(Parameters!$L$5:$L$104,B15))</f>
        <v>With Label</v>
      </c>
      <c r="E15" s="14" t="str" cm="1">
        <f t="array" ref="E15">IF(A15="","",INDEX(Parameters!$C$5:$C$104,A15))</f>
        <v>Rectangle</v>
      </c>
      <c r="F15" s="14" t="str" cm="1">
        <f t="array" ref="F15">IF(A15="","",INDEX(Parameters!$G$5:$G$104,A15))</f>
        <v>STANDARD RECTANGLE</v>
      </c>
      <c r="G15" s="15" t="str">
        <f t="shared" si="1"/>
        <v>STANDARD RECTANGLE_WITH_LABEL</v>
      </c>
      <c r="H15" s="15" t="str">
        <f t="shared" si="2"/>
        <v>12x24 PEDESTAL / Rectangle / Visibility: With Label</v>
      </c>
      <c r="I15" s="14" t="str" cm="1">
        <f t="array" ref="I15">IF(A15="","",INDEX(Parameters!$B$5:$B$104,A15))</f>
        <v>12x24 PEDESTAL</v>
      </c>
      <c r="J15"/>
    </row>
    <row r="16" spans="1:11" x14ac:dyDescent="0.25">
      <c r="A16" s="14">
        <f>IF(ROW()-3&lt;=Parameters!$N$7,INT((ROW()-4)/Parameters!$N$6)+1,"")</f>
        <v>3</v>
      </c>
      <c r="B16" s="14">
        <f>IF(A16="","",MOD(ROW()-4,Parameters!$N$6)+1)</f>
        <v>3</v>
      </c>
      <c r="C16" s="14" t="str">
        <f t="shared" si="0"/>
        <v>3-3</v>
      </c>
      <c r="D16" s="14" t="str" cm="1">
        <f t="array" ref="D16">IF(B16="","",INDEX(Parameters!$L$5:$L$104,B16))</f>
        <v>With Callout</v>
      </c>
      <c r="E16" s="14" t="str" cm="1">
        <f t="array" ref="E16">IF(A16="","",INDEX(Parameters!$C$5:$C$104,A16))</f>
        <v>Rectangle</v>
      </c>
      <c r="F16" s="14" t="str" cm="1">
        <f t="array" ref="F16">IF(A16="","",INDEX(Parameters!$G$5:$G$104,A16))</f>
        <v>STANDARD RECTANGLE</v>
      </c>
      <c r="G16" s="15" t="str">
        <f t="shared" si="1"/>
        <v>STANDARD RECTANGLE_WITH_CALLOUT</v>
      </c>
      <c r="H16" s="15" t="str">
        <f t="shared" si="2"/>
        <v>12x24 PEDESTAL / Rectangle / Visibility: With Callout</v>
      </c>
      <c r="I16" s="14" t="str" cm="1">
        <f t="array" ref="I16">IF(A16="","",INDEX(Parameters!$B$5:$B$104,A16))</f>
        <v>12x24 PEDESTAL</v>
      </c>
      <c r="J16"/>
    </row>
    <row r="17" spans="1:10" x14ac:dyDescent="0.25">
      <c r="A17" s="14">
        <f>IF(ROW()-3&lt;=Parameters!$N$7,INT((ROW()-4)/Parameters!$N$6)+1,"")</f>
        <v>3</v>
      </c>
      <c r="B17" s="14">
        <f>IF(A17="","",MOD(ROW()-4,Parameters!$N$6)+1)</f>
        <v>4</v>
      </c>
      <c r="C17" s="14" t="str">
        <f t="shared" si="0"/>
        <v>3-4</v>
      </c>
      <c r="D17" s="14" t="str" cm="1">
        <f t="array" ref="D17">IF(B17="","",INDEX(Parameters!$L$5:$L$104,B17))</f>
        <v>Existing</v>
      </c>
      <c r="E17" s="14" t="str" cm="1">
        <f t="array" ref="E17">IF(A17="","",INDEX(Parameters!$C$5:$C$104,A17))</f>
        <v>Rectangle</v>
      </c>
      <c r="F17" s="14" t="str" cm="1">
        <f t="array" ref="F17">IF(A17="","",INDEX(Parameters!$G$5:$G$104,A17))</f>
        <v>STANDARD RECTANGLE</v>
      </c>
      <c r="G17" s="15" t="str">
        <f t="shared" si="1"/>
        <v>STANDARD RECTANGLE_EXISTING</v>
      </c>
      <c r="H17" s="15" t="str">
        <f t="shared" si="2"/>
        <v>12x24 PEDESTAL / Rectangle / Visibility: Existing</v>
      </c>
      <c r="I17" s="14" t="str" cm="1">
        <f t="array" ref="I17">IF(A17="","",INDEX(Parameters!$B$5:$B$104,A17))</f>
        <v>12x24 PEDESTAL</v>
      </c>
      <c r="J17"/>
    </row>
    <row r="18" spans="1:10" x14ac:dyDescent="0.25">
      <c r="A18" s="14">
        <f>IF(ROW()-3&lt;=Parameters!$N$7,INT((ROW()-4)/Parameters!$N$6)+1,"")</f>
        <v>3</v>
      </c>
      <c r="B18" s="14">
        <f>IF(A18="","",MOD(ROW()-4,Parameters!$N$6)+1)</f>
        <v>5</v>
      </c>
      <c r="C18" s="14" t="str">
        <f t="shared" si="0"/>
        <v>3-5</v>
      </c>
      <c r="D18" s="14" t="str" cm="1">
        <f t="array" ref="D18">IF(B18="","",INDEX(Parameters!$L$5:$L$104,B18))</f>
        <v>Proposed</v>
      </c>
      <c r="E18" s="14" t="str" cm="1">
        <f t="array" ref="E18">IF(A18="","",INDEX(Parameters!$C$5:$C$104,A18))</f>
        <v>Rectangle</v>
      </c>
      <c r="F18" s="14" t="str" cm="1">
        <f t="array" ref="F18">IF(A18="","",INDEX(Parameters!$G$5:$G$104,A18))</f>
        <v>STANDARD RECTANGLE</v>
      </c>
      <c r="G18" s="15" t="str">
        <f t="shared" si="1"/>
        <v>STANDARD RECTANGLE_PROPOSED</v>
      </c>
      <c r="H18" s="15" t="str">
        <f t="shared" si="2"/>
        <v>12x24 PEDESTAL / Rectangle / Visibility: Proposed</v>
      </c>
      <c r="I18" s="14" t="str" cm="1">
        <f t="array" ref="I18">IF(A18="","",INDEX(Parameters!$B$5:$B$104,A18))</f>
        <v>12x24 PEDESTAL</v>
      </c>
      <c r="J18"/>
    </row>
    <row r="19" spans="1:10" x14ac:dyDescent="0.25">
      <c r="A19" s="14">
        <f>IF(ROW()-3&lt;=Parameters!$N$7,INT((ROW()-4)/Parameters!$N$6)+1,"")</f>
        <v>4</v>
      </c>
      <c r="B19" s="14">
        <f>IF(A19="","",MOD(ROW()-4,Parameters!$N$6)+1)</f>
        <v>1</v>
      </c>
      <c r="C19" s="14" t="str">
        <f t="shared" si="0"/>
        <v>4-1</v>
      </c>
      <c r="D19" s="14" t="str" cm="1">
        <f t="array" ref="D19">IF(B19="","",INDEX(Parameters!$L$5:$L$104,B19))</f>
        <v>Standard</v>
      </c>
      <c r="E19" s="14" t="str" cm="1">
        <f t="array" ref="E19">IF(A19="","",INDEX(Parameters!$C$5:$C$104,A19))</f>
        <v>Rectangle</v>
      </c>
      <c r="F19" s="14" t="str" cm="1">
        <f t="array" ref="F19">IF(A19="","",INDEX(Parameters!$G$5:$G$104,A19))</f>
        <v>STANDARD RECTANGLE</v>
      </c>
      <c r="G19" s="15" t="str">
        <f t="shared" si="1"/>
        <v>STANDARD RECTANGLE_STANDARD</v>
      </c>
      <c r="H19" s="15" t="str">
        <f t="shared" si="2"/>
        <v>6x6 PEDESTAL / Rectangle / Visibility: Standard</v>
      </c>
      <c r="I19" s="14" t="str" cm="1">
        <f t="array" ref="I19">IF(A19="","",INDEX(Parameters!$B$5:$B$104,A19))</f>
        <v>6x6 PEDESTAL</v>
      </c>
      <c r="J19"/>
    </row>
    <row r="20" spans="1:10" x14ac:dyDescent="0.25">
      <c r="A20" s="14">
        <f>IF(ROW()-3&lt;=Parameters!$N$7,INT((ROW()-4)/Parameters!$N$6)+1,"")</f>
        <v>4</v>
      </c>
      <c r="B20" s="14">
        <f>IF(A20="","",MOD(ROW()-4,Parameters!$N$6)+1)</f>
        <v>2</v>
      </c>
      <c r="C20" s="14" t="str">
        <f t="shared" si="0"/>
        <v>4-2</v>
      </c>
      <c r="D20" s="14" t="str" cm="1">
        <f t="array" ref="D20">IF(B20="","",INDEX(Parameters!$L$5:$L$104,B20))</f>
        <v>With Label</v>
      </c>
      <c r="E20" s="14" t="str" cm="1">
        <f t="array" ref="E20">IF(A20="","",INDEX(Parameters!$C$5:$C$104,A20))</f>
        <v>Rectangle</v>
      </c>
      <c r="F20" s="14" t="str" cm="1">
        <f t="array" ref="F20">IF(A20="","",INDEX(Parameters!$G$5:$G$104,A20))</f>
        <v>STANDARD RECTANGLE</v>
      </c>
      <c r="G20" s="15" t="str">
        <f t="shared" si="1"/>
        <v>STANDARD RECTANGLE_WITH_LABEL</v>
      </c>
      <c r="H20" s="15" t="str">
        <f t="shared" si="2"/>
        <v>6x6 PEDESTAL / Rectangle / Visibility: With Label</v>
      </c>
      <c r="I20" s="14" t="str" cm="1">
        <f t="array" ref="I20">IF(A20="","",INDEX(Parameters!$B$5:$B$104,A20))</f>
        <v>6x6 PEDESTAL</v>
      </c>
      <c r="J20"/>
    </row>
    <row r="21" spans="1:10" x14ac:dyDescent="0.25">
      <c r="A21" s="14">
        <f>IF(ROW()-3&lt;=Parameters!$N$7,INT((ROW()-4)/Parameters!$N$6)+1,"")</f>
        <v>4</v>
      </c>
      <c r="B21" s="14">
        <f>IF(A21="","",MOD(ROW()-4,Parameters!$N$6)+1)</f>
        <v>3</v>
      </c>
      <c r="C21" s="14" t="str">
        <f t="shared" si="0"/>
        <v>4-3</v>
      </c>
      <c r="D21" s="14" t="str" cm="1">
        <f t="array" ref="D21">IF(B21="","",INDEX(Parameters!$L$5:$L$104,B21))</f>
        <v>With Callout</v>
      </c>
      <c r="E21" s="14" t="str" cm="1">
        <f t="array" ref="E21">IF(A21="","",INDEX(Parameters!$C$5:$C$104,A21))</f>
        <v>Rectangle</v>
      </c>
      <c r="F21" s="14" t="str" cm="1">
        <f t="array" ref="F21">IF(A21="","",INDEX(Parameters!$G$5:$G$104,A21))</f>
        <v>STANDARD RECTANGLE</v>
      </c>
      <c r="G21" s="15" t="str">
        <f t="shared" si="1"/>
        <v>STANDARD RECTANGLE_WITH_CALLOUT</v>
      </c>
      <c r="H21" s="15" t="str">
        <f t="shared" si="2"/>
        <v>6x6 PEDESTAL / Rectangle / Visibility: With Callout</v>
      </c>
      <c r="I21" s="14" t="str" cm="1">
        <f t="array" ref="I21">IF(A21="","",INDEX(Parameters!$B$5:$B$104,A21))</f>
        <v>6x6 PEDESTAL</v>
      </c>
      <c r="J21"/>
    </row>
    <row r="22" spans="1:10" x14ac:dyDescent="0.25">
      <c r="A22" s="14">
        <f>IF(ROW()-3&lt;=Parameters!$N$7,INT((ROW()-4)/Parameters!$N$6)+1,"")</f>
        <v>4</v>
      </c>
      <c r="B22" s="14">
        <f>IF(A22="","",MOD(ROW()-4,Parameters!$N$6)+1)</f>
        <v>4</v>
      </c>
      <c r="C22" s="14" t="str">
        <f t="shared" si="0"/>
        <v>4-4</v>
      </c>
      <c r="D22" s="14" t="str" cm="1">
        <f t="array" ref="D22">IF(B22="","",INDEX(Parameters!$L$5:$L$104,B22))</f>
        <v>Existing</v>
      </c>
      <c r="E22" s="14" t="str" cm="1">
        <f t="array" ref="E22">IF(A22="","",INDEX(Parameters!$C$5:$C$104,A22))</f>
        <v>Rectangle</v>
      </c>
      <c r="F22" s="14" t="str" cm="1">
        <f t="array" ref="F22">IF(A22="","",INDEX(Parameters!$G$5:$G$104,A22))</f>
        <v>STANDARD RECTANGLE</v>
      </c>
      <c r="G22" s="15" t="str">
        <f t="shared" si="1"/>
        <v>STANDARD RECTANGLE_EXISTING</v>
      </c>
      <c r="H22" s="15" t="str">
        <f t="shared" si="2"/>
        <v>6x6 PEDESTAL / Rectangle / Visibility: Existing</v>
      </c>
      <c r="I22" s="14" t="str" cm="1">
        <f t="array" ref="I22">IF(A22="","",INDEX(Parameters!$B$5:$B$104,A22))</f>
        <v>6x6 PEDESTAL</v>
      </c>
      <c r="J22"/>
    </row>
    <row r="23" spans="1:10" x14ac:dyDescent="0.25">
      <c r="A23" s="14">
        <f>IF(ROW()-3&lt;=Parameters!$N$7,INT((ROW()-4)/Parameters!$N$6)+1,"")</f>
        <v>4</v>
      </c>
      <c r="B23" s="14">
        <f>IF(A23="","",MOD(ROW()-4,Parameters!$N$6)+1)</f>
        <v>5</v>
      </c>
      <c r="C23" s="14" t="str">
        <f t="shared" si="0"/>
        <v>4-5</v>
      </c>
      <c r="D23" s="14" t="str" cm="1">
        <f t="array" ref="D23">IF(B23="","",INDEX(Parameters!$L$5:$L$104,B23))</f>
        <v>Proposed</v>
      </c>
      <c r="E23" s="14" t="str" cm="1">
        <f t="array" ref="E23">IF(A23="","",INDEX(Parameters!$C$5:$C$104,A23))</f>
        <v>Rectangle</v>
      </c>
      <c r="F23" s="14" t="str" cm="1">
        <f t="array" ref="F23">IF(A23="","",INDEX(Parameters!$G$5:$G$104,A23))</f>
        <v>STANDARD RECTANGLE</v>
      </c>
      <c r="G23" s="15" t="str">
        <f t="shared" si="1"/>
        <v>STANDARD RECTANGLE_PROPOSED</v>
      </c>
      <c r="H23" s="15" t="str">
        <f t="shared" si="2"/>
        <v>6x6 PEDESTAL / Rectangle / Visibility: Proposed</v>
      </c>
      <c r="I23" s="14" t="str" cm="1">
        <f t="array" ref="I23">IF(A23="","",INDEX(Parameters!$B$5:$B$104,A23))</f>
        <v>6x6 PEDESTAL</v>
      </c>
      <c r="J23"/>
    </row>
    <row r="24" spans="1:10" x14ac:dyDescent="0.25">
      <c r="A24" s="14">
        <f>IF(ROW()-3&lt;=Parameters!$N$7,INT((ROW()-4)/Parameters!$N$6)+1,"")</f>
        <v>5</v>
      </c>
      <c r="B24" s="14">
        <f>IF(A24="","",MOD(ROW()-4,Parameters!$N$6)+1)</f>
        <v>1</v>
      </c>
      <c r="C24" s="14" t="str">
        <f t="shared" si="0"/>
        <v>5-1</v>
      </c>
      <c r="D24" s="14" t="str" cm="1">
        <f t="array" ref="D24">IF(B24="","",INDEX(Parameters!$L$5:$L$104,B24))</f>
        <v>Standard</v>
      </c>
      <c r="E24" s="14" t="str" cm="1">
        <f t="array" ref="E24">IF(A24="","",INDEX(Parameters!$C$5:$C$104,A24))</f>
        <v>Rectangle</v>
      </c>
      <c r="F24" s="14" t="str" cm="1">
        <f t="array" ref="F24">IF(A24="","",INDEX(Parameters!$G$5:$G$104,A24))</f>
        <v>STANDARD RECTANGLE</v>
      </c>
      <c r="G24" s="15" t="str">
        <f t="shared" si="1"/>
        <v>STANDARD RECTANGLE_STANDARD</v>
      </c>
      <c r="H24" s="15" t="str">
        <f t="shared" si="2"/>
        <v>10x10 PEDESTAL / Rectangle / Visibility: Standard</v>
      </c>
      <c r="I24" s="14" t="str" cm="1">
        <f t="array" ref="I24">IF(A24="","",INDEX(Parameters!$B$5:$B$104,A24))</f>
        <v>10x10 PEDESTAL</v>
      </c>
      <c r="J24"/>
    </row>
    <row r="25" spans="1:10" x14ac:dyDescent="0.25">
      <c r="A25" s="14">
        <f>IF(ROW()-3&lt;=Parameters!$N$7,INT((ROW()-4)/Parameters!$N$6)+1,"")</f>
        <v>5</v>
      </c>
      <c r="B25" s="14">
        <f>IF(A25="","",MOD(ROW()-4,Parameters!$N$6)+1)</f>
        <v>2</v>
      </c>
      <c r="C25" s="14" t="str">
        <f t="shared" si="0"/>
        <v>5-2</v>
      </c>
      <c r="D25" s="14" t="str" cm="1">
        <f t="array" ref="D25">IF(B25="","",INDEX(Parameters!$L$5:$L$104,B25))</f>
        <v>With Label</v>
      </c>
      <c r="E25" s="14" t="str" cm="1">
        <f t="array" ref="E25">IF(A25="","",INDEX(Parameters!$C$5:$C$104,A25))</f>
        <v>Rectangle</v>
      </c>
      <c r="F25" s="14" t="str" cm="1">
        <f t="array" ref="F25">IF(A25="","",INDEX(Parameters!$G$5:$G$104,A25))</f>
        <v>STANDARD RECTANGLE</v>
      </c>
      <c r="G25" s="15" t="str">
        <f t="shared" si="1"/>
        <v>STANDARD RECTANGLE_WITH_LABEL</v>
      </c>
      <c r="H25" s="15" t="str">
        <f t="shared" si="2"/>
        <v>10x10 PEDESTAL / Rectangle / Visibility: With Label</v>
      </c>
      <c r="I25" s="14" t="str" cm="1">
        <f t="array" ref="I25">IF(A25="","",INDEX(Parameters!$B$5:$B$104,A25))</f>
        <v>10x10 PEDESTAL</v>
      </c>
      <c r="J25"/>
    </row>
    <row r="26" spans="1:10" x14ac:dyDescent="0.25">
      <c r="A26" s="14">
        <f>IF(ROW()-3&lt;=Parameters!$N$7,INT((ROW()-4)/Parameters!$N$6)+1,"")</f>
        <v>5</v>
      </c>
      <c r="B26" s="14">
        <f>IF(A26="","",MOD(ROW()-4,Parameters!$N$6)+1)</f>
        <v>3</v>
      </c>
      <c r="C26" s="14" t="str">
        <f t="shared" si="0"/>
        <v>5-3</v>
      </c>
      <c r="D26" s="14" t="str" cm="1">
        <f t="array" ref="D26">IF(B26="","",INDEX(Parameters!$L$5:$L$104,B26))</f>
        <v>With Callout</v>
      </c>
      <c r="E26" s="14" t="str" cm="1">
        <f t="array" ref="E26">IF(A26="","",INDEX(Parameters!$C$5:$C$104,A26))</f>
        <v>Rectangle</v>
      </c>
      <c r="F26" s="14" t="str" cm="1">
        <f t="array" ref="F26">IF(A26="","",INDEX(Parameters!$G$5:$G$104,A26))</f>
        <v>STANDARD RECTANGLE</v>
      </c>
      <c r="G26" s="15" t="str">
        <f t="shared" si="1"/>
        <v>STANDARD RECTANGLE_WITH_CALLOUT</v>
      </c>
      <c r="H26" s="15" t="str">
        <f t="shared" si="2"/>
        <v>10x10 PEDESTAL / Rectangle / Visibility: With Callout</v>
      </c>
      <c r="I26" s="14" t="str" cm="1">
        <f t="array" ref="I26">IF(A26="","",INDEX(Parameters!$B$5:$B$104,A26))</f>
        <v>10x10 PEDESTAL</v>
      </c>
      <c r="J26"/>
    </row>
    <row r="27" spans="1:10" x14ac:dyDescent="0.25">
      <c r="A27" s="14">
        <f>IF(ROW()-3&lt;=Parameters!$N$7,INT((ROW()-4)/Parameters!$N$6)+1,"")</f>
        <v>5</v>
      </c>
      <c r="B27" s="14">
        <f>IF(A27="","",MOD(ROW()-4,Parameters!$N$6)+1)</f>
        <v>4</v>
      </c>
      <c r="C27" s="14" t="str">
        <f t="shared" si="0"/>
        <v>5-4</v>
      </c>
      <c r="D27" s="14" t="str" cm="1">
        <f t="array" ref="D27">IF(B27="","",INDEX(Parameters!$L$5:$L$104,B27))</f>
        <v>Existing</v>
      </c>
      <c r="E27" s="14" t="str" cm="1">
        <f t="array" ref="E27">IF(A27="","",INDEX(Parameters!$C$5:$C$104,A27))</f>
        <v>Rectangle</v>
      </c>
      <c r="F27" s="14" t="str" cm="1">
        <f t="array" ref="F27">IF(A27="","",INDEX(Parameters!$G$5:$G$104,A27))</f>
        <v>STANDARD RECTANGLE</v>
      </c>
      <c r="G27" s="15" t="str">
        <f t="shared" si="1"/>
        <v>STANDARD RECTANGLE_EXISTING</v>
      </c>
      <c r="H27" s="15" t="str">
        <f t="shared" si="2"/>
        <v>10x10 PEDESTAL / Rectangle / Visibility: Existing</v>
      </c>
      <c r="I27" s="14" t="str" cm="1">
        <f t="array" ref="I27">IF(A27="","",INDEX(Parameters!$B$5:$B$104,A27))</f>
        <v>10x10 PEDESTAL</v>
      </c>
      <c r="J27"/>
    </row>
    <row r="28" spans="1:10" x14ac:dyDescent="0.25">
      <c r="A28" s="14">
        <f>IF(ROW()-3&lt;=Parameters!$N$7,INT((ROW()-4)/Parameters!$N$6)+1,"")</f>
        <v>5</v>
      </c>
      <c r="B28" s="14">
        <f>IF(A28="","",MOD(ROW()-4,Parameters!$N$6)+1)</f>
        <v>5</v>
      </c>
      <c r="C28" s="14" t="str">
        <f t="shared" si="0"/>
        <v>5-5</v>
      </c>
      <c r="D28" s="14" t="str" cm="1">
        <f t="array" ref="D28">IF(B28="","",INDEX(Parameters!$L$5:$L$104,B28))</f>
        <v>Proposed</v>
      </c>
      <c r="E28" s="14" t="str" cm="1">
        <f t="array" ref="E28">IF(A28="","",INDEX(Parameters!$C$5:$C$104,A28))</f>
        <v>Rectangle</v>
      </c>
      <c r="F28" s="14" t="str" cm="1">
        <f t="array" ref="F28">IF(A28="","",INDEX(Parameters!$G$5:$G$104,A28))</f>
        <v>STANDARD RECTANGLE</v>
      </c>
      <c r="G28" s="15" t="str">
        <f t="shared" si="1"/>
        <v>STANDARD RECTANGLE_PROPOSED</v>
      </c>
      <c r="H28" s="15" t="str">
        <f t="shared" si="2"/>
        <v>10x10 PEDESTAL / Rectangle / Visibility: Proposed</v>
      </c>
      <c r="I28" s="14" t="str" cm="1">
        <f t="array" ref="I28">IF(A28="","",INDEX(Parameters!$B$5:$B$104,A28))</f>
        <v>10x10 PEDESTAL</v>
      </c>
      <c r="J28"/>
    </row>
    <row r="29" spans="1:10" x14ac:dyDescent="0.25">
      <c r="A29" s="14">
        <f>IF(ROW()-3&lt;=Parameters!$N$7,INT((ROW()-4)/Parameters!$N$6)+1,"")</f>
        <v>6</v>
      </c>
      <c r="B29" s="14">
        <f>IF(A29="","",MOD(ROW()-4,Parameters!$N$6)+1)</f>
        <v>1</v>
      </c>
      <c r="C29" s="14" t="str">
        <f t="shared" si="0"/>
        <v>6-1</v>
      </c>
      <c r="D29" s="14" t="str" cm="1">
        <f t="array" ref="D29">IF(B29="","",INDEX(Parameters!$L$5:$L$104,B29))</f>
        <v>Standard</v>
      </c>
      <c r="E29" s="14" t="str" cm="1">
        <f t="array" ref="E29">IF(A29="","",INDEX(Parameters!$C$5:$C$104,A29))</f>
        <v>Rectangle</v>
      </c>
      <c r="F29" s="14" t="str" cm="1">
        <f t="array" ref="F29">IF(A29="","",INDEX(Parameters!$G$5:$G$104,A29))</f>
        <v>STANDARD RECTANGLE</v>
      </c>
      <c r="G29" s="15" t="str">
        <f t="shared" si="1"/>
        <v>STANDARD RECTANGLE_STANDARD</v>
      </c>
      <c r="H29" s="15" t="str">
        <f t="shared" si="2"/>
        <v>12x18 PEDESTAL / Rectangle / Visibility: Standard</v>
      </c>
      <c r="I29" s="14" t="str" cm="1">
        <f t="array" ref="I29">IF(A29="","",INDEX(Parameters!$B$5:$B$104,A29))</f>
        <v>12x18 PEDESTAL</v>
      </c>
      <c r="J29"/>
    </row>
    <row r="30" spans="1:10" x14ac:dyDescent="0.25">
      <c r="A30" s="14">
        <f>IF(ROW()-3&lt;=Parameters!$N$7,INT((ROW()-4)/Parameters!$N$6)+1,"")</f>
        <v>6</v>
      </c>
      <c r="B30" s="14">
        <f>IF(A30="","",MOD(ROW()-4,Parameters!$N$6)+1)</f>
        <v>2</v>
      </c>
      <c r="C30" s="14" t="str">
        <f t="shared" si="0"/>
        <v>6-2</v>
      </c>
      <c r="D30" s="14" t="str" cm="1">
        <f t="array" ref="D30">IF(B30="","",INDEX(Parameters!$L$5:$L$104,B30))</f>
        <v>With Label</v>
      </c>
      <c r="E30" s="14" t="str" cm="1">
        <f t="array" ref="E30">IF(A30="","",INDEX(Parameters!$C$5:$C$104,A30))</f>
        <v>Rectangle</v>
      </c>
      <c r="F30" s="14" t="str" cm="1">
        <f t="array" ref="F30">IF(A30="","",INDEX(Parameters!$G$5:$G$104,A30))</f>
        <v>STANDARD RECTANGLE</v>
      </c>
      <c r="G30" s="15" t="str">
        <f t="shared" si="1"/>
        <v>STANDARD RECTANGLE_WITH_LABEL</v>
      </c>
      <c r="H30" s="15" t="str">
        <f t="shared" si="2"/>
        <v>12x18 PEDESTAL / Rectangle / Visibility: With Label</v>
      </c>
      <c r="I30" s="14" t="str" cm="1">
        <f t="array" ref="I30">IF(A30="","",INDEX(Parameters!$B$5:$B$104,A30))</f>
        <v>12x18 PEDESTAL</v>
      </c>
      <c r="J30"/>
    </row>
    <row r="31" spans="1:10" x14ac:dyDescent="0.25">
      <c r="A31" s="14">
        <f>IF(ROW()-3&lt;=Parameters!$N$7,INT((ROW()-4)/Parameters!$N$6)+1,"")</f>
        <v>6</v>
      </c>
      <c r="B31" s="14">
        <f>IF(A31="","",MOD(ROW()-4,Parameters!$N$6)+1)</f>
        <v>3</v>
      </c>
      <c r="C31" s="14" t="str">
        <f t="shared" si="0"/>
        <v>6-3</v>
      </c>
      <c r="D31" s="14" t="str" cm="1">
        <f t="array" ref="D31">IF(B31="","",INDEX(Parameters!$L$5:$L$104,B31))</f>
        <v>With Callout</v>
      </c>
      <c r="E31" s="14" t="str" cm="1">
        <f t="array" ref="E31">IF(A31="","",INDEX(Parameters!$C$5:$C$104,A31))</f>
        <v>Rectangle</v>
      </c>
      <c r="F31" s="14" t="str" cm="1">
        <f t="array" ref="F31">IF(A31="","",INDEX(Parameters!$G$5:$G$104,A31))</f>
        <v>STANDARD RECTANGLE</v>
      </c>
      <c r="G31" s="15" t="str">
        <f t="shared" si="1"/>
        <v>STANDARD RECTANGLE_WITH_CALLOUT</v>
      </c>
      <c r="H31" s="15" t="str">
        <f t="shared" si="2"/>
        <v>12x18 PEDESTAL / Rectangle / Visibility: With Callout</v>
      </c>
      <c r="I31" s="14" t="str" cm="1">
        <f t="array" ref="I31">IF(A31="","",INDEX(Parameters!$B$5:$B$104,A31))</f>
        <v>12x18 PEDESTAL</v>
      </c>
      <c r="J31"/>
    </row>
    <row r="32" spans="1:10" x14ac:dyDescent="0.25">
      <c r="A32" s="14">
        <f>IF(ROW()-3&lt;=Parameters!$N$7,INT((ROW()-4)/Parameters!$N$6)+1,"")</f>
        <v>6</v>
      </c>
      <c r="B32" s="14">
        <f>IF(A32="","",MOD(ROW()-4,Parameters!$N$6)+1)</f>
        <v>4</v>
      </c>
      <c r="C32" s="14" t="str">
        <f t="shared" si="0"/>
        <v>6-4</v>
      </c>
      <c r="D32" s="14" t="str" cm="1">
        <f t="array" ref="D32">IF(B32="","",INDEX(Parameters!$L$5:$L$104,B32))</f>
        <v>Existing</v>
      </c>
      <c r="E32" s="14" t="str" cm="1">
        <f t="array" ref="E32">IF(A32="","",INDEX(Parameters!$C$5:$C$104,A32))</f>
        <v>Rectangle</v>
      </c>
      <c r="F32" s="14" t="str" cm="1">
        <f t="array" ref="F32">IF(A32="","",INDEX(Parameters!$G$5:$G$104,A32))</f>
        <v>STANDARD RECTANGLE</v>
      </c>
      <c r="G32" s="15" t="str">
        <f t="shared" si="1"/>
        <v>STANDARD RECTANGLE_EXISTING</v>
      </c>
      <c r="H32" s="15" t="str">
        <f t="shared" si="2"/>
        <v>12x18 PEDESTAL / Rectangle / Visibility: Existing</v>
      </c>
      <c r="I32" s="14" t="str" cm="1">
        <f t="array" ref="I32">IF(A32="","",INDEX(Parameters!$B$5:$B$104,A32))</f>
        <v>12x18 PEDESTAL</v>
      </c>
      <c r="J32"/>
    </row>
    <row r="33" spans="1:10" x14ac:dyDescent="0.25">
      <c r="A33" s="14">
        <f>IF(ROW()-3&lt;=Parameters!$N$7,INT((ROW()-4)/Parameters!$N$6)+1,"")</f>
        <v>6</v>
      </c>
      <c r="B33" s="14">
        <f>IF(A33="","",MOD(ROW()-4,Parameters!$N$6)+1)</f>
        <v>5</v>
      </c>
      <c r="C33" s="14" t="str">
        <f t="shared" si="0"/>
        <v>6-5</v>
      </c>
      <c r="D33" s="14" t="str" cm="1">
        <f t="array" ref="D33">IF(B33="","",INDEX(Parameters!$L$5:$L$104,B33))</f>
        <v>Proposed</v>
      </c>
      <c r="E33" s="14" t="str" cm="1">
        <f t="array" ref="E33">IF(A33="","",INDEX(Parameters!$C$5:$C$104,A33))</f>
        <v>Rectangle</v>
      </c>
      <c r="F33" s="14" t="str" cm="1">
        <f t="array" ref="F33">IF(A33="","",INDEX(Parameters!$G$5:$G$104,A33))</f>
        <v>STANDARD RECTANGLE</v>
      </c>
      <c r="G33" s="15" t="str">
        <f t="shared" si="1"/>
        <v>STANDARD RECTANGLE_PROPOSED</v>
      </c>
      <c r="H33" s="15" t="str">
        <f t="shared" si="2"/>
        <v>12x18 PEDESTAL / Rectangle / Visibility: Proposed</v>
      </c>
      <c r="I33" s="14" t="str" cm="1">
        <f t="array" ref="I33">IF(A33="","",INDEX(Parameters!$B$5:$B$104,A33))</f>
        <v>12x18 PEDESTAL</v>
      </c>
      <c r="J33"/>
    </row>
    <row r="34" spans="1:10" x14ac:dyDescent="0.25">
      <c r="A34" s="14">
        <f>IF(ROW()-3&lt;=Parameters!$N$7,INT((ROW()-4)/Parameters!$N$6)+1,"")</f>
        <v>7</v>
      </c>
      <c r="B34" s="14">
        <f>IF(A34="","",MOD(ROW()-4,Parameters!$N$6)+1)</f>
        <v>1</v>
      </c>
      <c r="C34" s="14" t="str">
        <f t="shared" si="0"/>
        <v>7-1</v>
      </c>
      <c r="D34" s="14" t="str" cm="1">
        <f t="array" ref="D34">IF(B34="","",INDEX(Parameters!$L$5:$L$104,B34))</f>
        <v>Standard</v>
      </c>
      <c r="E34" s="14" t="str" cm="1">
        <f t="array" ref="E34">IF(A34="","",INDEX(Parameters!$C$5:$C$104,A34))</f>
        <v>Circle</v>
      </c>
      <c r="F34" s="14" t="str" cm="1">
        <f t="array" ref="F34">IF(A34="","",INDEX(Parameters!$G$5:$G$104,A34))</f>
        <v>ROUND</v>
      </c>
      <c r="G34" s="15" t="str">
        <f t="shared" si="1"/>
        <v>ROUND_STANDARD</v>
      </c>
      <c r="H34" s="15" t="str">
        <f t="shared" si="2"/>
        <v>9.5 DIA PEDESTAL / Circle / Visibility: Standard</v>
      </c>
      <c r="I34" s="14" t="str" cm="1">
        <f t="array" ref="I34">IF(A34="","",INDEX(Parameters!$B$5:$B$104,A34))</f>
        <v>9.5 DIA PEDESTAL</v>
      </c>
      <c r="J34"/>
    </row>
    <row r="35" spans="1:10" x14ac:dyDescent="0.25">
      <c r="A35" s="14">
        <f>IF(ROW()-3&lt;=Parameters!$N$7,INT((ROW()-4)/Parameters!$N$6)+1,"")</f>
        <v>7</v>
      </c>
      <c r="B35" s="14">
        <f>IF(A35="","",MOD(ROW()-4,Parameters!$N$6)+1)</f>
        <v>2</v>
      </c>
      <c r="C35" s="14" t="str">
        <f t="shared" si="0"/>
        <v>7-2</v>
      </c>
      <c r="D35" s="14" t="str" cm="1">
        <f t="array" ref="D35">IF(B35="","",INDEX(Parameters!$L$5:$L$104,B35))</f>
        <v>With Label</v>
      </c>
      <c r="E35" s="14" t="str" cm="1">
        <f t="array" ref="E35">IF(A35="","",INDEX(Parameters!$C$5:$C$104,A35))</f>
        <v>Circle</v>
      </c>
      <c r="F35" s="14" t="str" cm="1">
        <f t="array" ref="F35">IF(A35="","",INDEX(Parameters!$G$5:$G$104,A35))</f>
        <v>ROUND</v>
      </c>
      <c r="G35" s="15" t="str">
        <f t="shared" si="1"/>
        <v>ROUND_WITH_LABEL</v>
      </c>
      <c r="H35" s="15" t="str">
        <f t="shared" si="2"/>
        <v>9.5 DIA PEDESTAL / Circle / Visibility: With Label</v>
      </c>
      <c r="I35" s="14" t="str" cm="1">
        <f t="array" ref="I35">IF(A35="","",INDEX(Parameters!$B$5:$B$104,A35))</f>
        <v>9.5 DIA PEDESTAL</v>
      </c>
      <c r="J35"/>
    </row>
    <row r="36" spans="1:10" x14ac:dyDescent="0.25">
      <c r="A36" s="14">
        <f>IF(ROW()-3&lt;=Parameters!$N$7,INT((ROW()-4)/Parameters!$N$6)+1,"")</f>
        <v>7</v>
      </c>
      <c r="B36" s="14">
        <f>IF(A36="","",MOD(ROW()-4,Parameters!$N$6)+1)</f>
        <v>3</v>
      </c>
      <c r="C36" s="14" t="str">
        <f t="shared" ref="C36:C67" si="3">IF(A36="","",A36&amp;"-"&amp;B36)</f>
        <v>7-3</v>
      </c>
      <c r="D36" s="14" t="str" cm="1">
        <f t="array" ref="D36">IF(B36="","",INDEX(Parameters!$L$5:$L$104,B36))</f>
        <v>With Callout</v>
      </c>
      <c r="E36" s="14" t="str" cm="1">
        <f t="array" ref="E36">IF(A36="","",INDEX(Parameters!$C$5:$C$104,A36))</f>
        <v>Circle</v>
      </c>
      <c r="F36" s="14" t="str" cm="1">
        <f t="array" ref="F36">IF(A36="","",INDEX(Parameters!$G$5:$G$104,A36))</f>
        <v>ROUND</v>
      </c>
      <c r="G36" s="15" t="str">
        <f t="shared" ref="G36:G67" si="4">IF(F36="","",F36&amp;"_"&amp;UPPER(SUBSTITUTE(D36," ","_")))</f>
        <v>ROUND_WITH_CALLOUT</v>
      </c>
      <c r="H36" s="15" t="str">
        <f t="shared" ref="H36:H67" si="5">IF(A36="","",I36&amp;" / "&amp;E36&amp;" / Visibility: "&amp;D36)</f>
        <v>9.5 DIA PEDESTAL / Circle / Visibility: With Callout</v>
      </c>
      <c r="I36" s="14" t="str" cm="1">
        <f t="array" ref="I36">IF(A36="","",INDEX(Parameters!$B$5:$B$104,A36))</f>
        <v>9.5 DIA PEDESTAL</v>
      </c>
      <c r="J36"/>
    </row>
    <row r="37" spans="1:10" x14ac:dyDescent="0.25">
      <c r="A37" s="14">
        <f>IF(ROW()-3&lt;=Parameters!$N$7,INT((ROW()-4)/Parameters!$N$6)+1,"")</f>
        <v>7</v>
      </c>
      <c r="B37" s="14">
        <f>IF(A37="","",MOD(ROW()-4,Parameters!$N$6)+1)</f>
        <v>4</v>
      </c>
      <c r="C37" s="14" t="str">
        <f t="shared" si="3"/>
        <v>7-4</v>
      </c>
      <c r="D37" s="14" t="str" cm="1">
        <f t="array" ref="D37">IF(B37="","",INDEX(Parameters!$L$5:$L$104,B37))</f>
        <v>Existing</v>
      </c>
      <c r="E37" s="14" t="str" cm="1">
        <f t="array" ref="E37">IF(A37="","",INDEX(Parameters!$C$5:$C$104,A37))</f>
        <v>Circle</v>
      </c>
      <c r="F37" s="14" t="str" cm="1">
        <f t="array" ref="F37">IF(A37="","",INDEX(Parameters!$G$5:$G$104,A37))</f>
        <v>ROUND</v>
      </c>
      <c r="G37" s="15" t="str">
        <f t="shared" si="4"/>
        <v>ROUND_EXISTING</v>
      </c>
      <c r="H37" s="15" t="str">
        <f t="shared" si="5"/>
        <v>9.5 DIA PEDESTAL / Circle / Visibility: Existing</v>
      </c>
      <c r="I37" s="14" t="str" cm="1">
        <f t="array" ref="I37">IF(A37="","",INDEX(Parameters!$B$5:$B$104,A37))</f>
        <v>9.5 DIA PEDESTAL</v>
      </c>
      <c r="J37"/>
    </row>
    <row r="38" spans="1:10" x14ac:dyDescent="0.25">
      <c r="A38" s="14">
        <f>IF(ROW()-3&lt;=Parameters!$N$7,INT((ROW()-4)/Parameters!$N$6)+1,"")</f>
        <v>7</v>
      </c>
      <c r="B38" s="14">
        <f>IF(A38="","",MOD(ROW()-4,Parameters!$N$6)+1)</f>
        <v>5</v>
      </c>
      <c r="C38" s="14" t="str">
        <f t="shared" si="3"/>
        <v>7-5</v>
      </c>
      <c r="D38" s="14" t="str" cm="1">
        <f t="array" ref="D38">IF(B38="","",INDEX(Parameters!$L$5:$L$104,B38))</f>
        <v>Proposed</v>
      </c>
      <c r="E38" s="14" t="str" cm="1">
        <f t="array" ref="E38">IF(A38="","",INDEX(Parameters!$C$5:$C$104,A38))</f>
        <v>Circle</v>
      </c>
      <c r="F38" s="14" t="str" cm="1">
        <f t="array" ref="F38">IF(A38="","",INDEX(Parameters!$G$5:$G$104,A38))</f>
        <v>ROUND</v>
      </c>
      <c r="G38" s="15" t="str">
        <f t="shared" si="4"/>
        <v>ROUND_PROPOSED</v>
      </c>
      <c r="H38" s="15" t="str">
        <f t="shared" si="5"/>
        <v>9.5 DIA PEDESTAL / Circle / Visibility: Proposed</v>
      </c>
      <c r="I38" s="14" t="str" cm="1">
        <f t="array" ref="I38">IF(A38="","",INDEX(Parameters!$B$5:$B$104,A38))</f>
        <v>9.5 DIA PEDESTAL</v>
      </c>
      <c r="J38"/>
    </row>
    <row r="39" spans="1:10" x14ac:dyDescent="0.25">
      <c r="A39" s="14">
        <f>IF(ROW()-3&lt;=Parameters!$N$7,INT((ROW()-4)/Parameters!$N$6)+1,"")</f>
        <v>8</v>
      </c>
      <c r="B39" s="14">
        <f>IF(A39="","",MOD(ROW()-4,Parameters!$N$6)+1)</f>
        <v>1</v>
      </c>
      <c r="C39" s="14" t="str">
        <f t="shared" si="3"/>
        <v>8-1</v>
      </c>
      <c r="D39" s="14" t="str" cm="1">
        <f t="array" ref="D39">IF(B39="","",INDEX(Parameters!$L$5:$L$104,B39))</f>
        <v>Standard</v>
      </c>
      <c r="E39" s="14" t="str" cm="1">
        <f t="array" ref="E39">IF(A39="","",INDEX(Parameters!$C$5:$C$104,A39))</f>
        <v>Circle</v>
      </c>
      <c r="F39" s="14" t="str" cm="1">
        <f t="array" ref="F39">IF(A39="","",INDEX(Parameters!$G$5:$G$104,A39))</f>
        <v>ROUND</v>
      </c>
      <c r="G39" s="15" t="str">
        <f t="shared" si="4"/>
        <v>ROUND_STANDARD</v>
      </c>
      <c r="H39" s="15" t="str">
        <f t="shared" si="5"/>
        <v>10.75 DIA PEDESTAL / Circle / Visibility: Standard</v>
      </c>
      <c r="I39" s="14" t="str" cm="1">
        <f t="array" ref="I39">IF(A39="","",INDEX(Parameters!$B$5:$B$104,A39))</f>
        <v>10.75 DIA PEDESTAL</v>
      </c>
      <c r="J39"/>
    </row>
    <row r="40" spans="1:10" x14ac:dyDescent="0.25">
      <c r="A40" s="14">
        <f>IF(ROW()-3&lt;=Parameters!$N$7,INT((ROW()-4)/Parameters!$N$6)+1,"")</f>
        <v>8</v>
      </c>
      <c r="B40" s="14">
        <f>IF(A40="","",MOD(ROW()-4,Parameters!$N$6)+1)</f>
        <v>2</v>
      </c>
      <c r="C40" s="14" t="str">
        <f t="shared" si="3"/>
        <v>8-2</v>
      </c>
      <c r="D40" s="14" t="str" cm="1">
        <f t="array" ref="D40">IF(B40="","",INDEX(Parameters!$L$5:$L$104,B40))</f>
        <v>With Label</v>
      </c>
      <c r="E40" s="14" t="str" cm="1">
        <f t="array" ref="E40">IF(A40="","",INDEX(Parameters!$C$5:$C$104,A40))</f>
        <v>Circle</v>
      </c>
      <c r="F40" s="14" t="str" cm="1">
        <f t="array" ref="F40">IF(A40="","",INDEX(Parameters!$G$5:$G$104,A40))</f>
        <v>ROUND</v>
      </c>
      <c r="G40" s="15" t="str">
        <f t="shared" si="4"/>
        <v>ROUND_WITH_LABEL</v>
      </c>
      <c r="H40" s="15" t="str">
        <f t="shared" si="5"/>
        <v>10.75 DIA PEDESTAL / Circle / Visibility: With Label</v>
      </c>
      <c r="I40" s="14" t="str" cm="1">
        <f t="array" ref="I40">IF(A40="","",INDEX(Parameters!$B$5:$B$104,A40))</f>
        <v>10.75 DIA PEDESTAL</v>
      </c>
      <c r="J40"/>
    </row>
    <row r="41" spans="1:10" x14ac:dyDescent="0.25">
      <c r="A41" s="14">
        <f>IF(ROW()-3&lt;=Parameters!$N$7,INT((ROW()-4)/Parameters!$N$6)+1,"")</f>
        <v>8</v>
      </c>
      <c r="B41" s="14">
        <f>IF(A41="","",MOD(ROW()-4,Parameters!$N$6)+1)</f>
        <v>3</v>
      </c>
      <c r="C41" s="14" t="str">
        <f t="shared" si="3"/>
        <v>8-3</v>
      </c>
      <c r="D41" s="14" t="str" cm="1">
        <f t="array" ref="D41">IF(B41="","",INDEX(Parameters!$L$5:$L$104,B41))</f>
        <v>With Callout</v>
      </c>
      <c r="E41" s="14" t="str" cm="1">
        <f t="array" ref="E41">IF(A41="","",INDEX(Parameters!$C$5:$C$104,A41))</f>
        <v>Circle</v>
      </c>
      <c r="F41" s="14" t="str" cm="1">
        <f t="array" ref="F41">IF(A41="","",INDEX(Parameters!$G$5:$G$104,A41))</f>
        <v>ROUND</v>
      </c>
      <c r="G41" s="15" t="str">
        <f t="shared" si="4"/>
        <v>ROUND_WITH_CALLOUT</v>
      </c>
      <c r="H41" s="15" t="str">
        <f t="shared" si="5"/>
        <v>10.75 DIA PEDESTAL / Circle / Visibility: With Callout</v>
      </c>
      <c r="I41" s="14" t="str" cm="1">
        <f t="array" ref="I41">IF(A41="","",INDEX(Parameters!$B$5:$B$104,A41))</f>
        <v>10.75 DIA PEDESTAL</v>
      </c>
      <c r="J41"/>
    </row>
    <row r="42" spans="1:10" x14ac:dyDescent="0.25">
      <c r="A42" s="14">
        <f>IF(ROW()-3&lt;=Parameters!$N$7,INT((ROW()-4)/Parameters!$N$6)+1,"")</f>
        <v>8</v>
      </c>
      <c r="B42" s="14">
        <f>IF(A42="","",MOD(ROW()-4,Parameters!$N$6)+1)</f>
        <v>4</v>
      </c>
      <c r="C42" s="14" t="str">
        <f t="shared" si="3"/>
        <v>8-4</v>
      </c>
      <c r="D42" s="14" t="str" cm="1">
        <f t="array" ref="D42">IF(B42="","",INDEX(Parameters!$L$5:$L$104,B42))</f>
        <v>Existing</v>
      </c>
      <c r="E42" s="14" t="str" cm="1">
        <f t="array" ref="E42">IF(A42="","",INDEX(Parameters!$C$5:$C$104,A42))</f>
        <v>Circle</v>
      </c>
      <c r="F42" s="14" t="str" cm="1">
        <f t="array" ref="F42">IF(A42="","",INDEX(Parameters!$G$5:$G$104,A42))</f>
        <v>ROUND</v>
      </c>
      <c r="G42" s="15" t="str">
        <f t="shared" si="4"/>
        <v>ROUND_EXISTING</v>
      </c>
      <c r="H42" s="15" t="str">
        <f t="shared" si="5"/>
        <v>10.75 DIA PEDESTAL / Circle / Visibility: Existing</v>
      </c>
      <c r="I42" s="14" t="str" cm="1">
        <f t="array" ref="I42">IF(A42="","",INDEX(Parameters!$B$5:$B$104,A42))</f>
        <v>10.75 DIA PEDESTAL</v>
      </c>
      <c r="J42"/>
    </row>
    <row r="43" spans="1:10" x14ac:dyDescent="0.25">
      <c r="A43" s="14">
        <f>IF(ROW()-3&lt;=Parameters!$N$7,INT((ROW()-4)/Parameters!$N$6)+1,"")</f>
        <v>8</v>
      </c>
      <c r="B43" s="14">
        <f>IF(A43="","",MOD(ROW()-4,Parameters!$N$6)+1)</f>
        <v>5</v>
      </c>
      <c r="C43" s="14" t="str">
        <f t="shared" si="3"/>
        <v>8-5</v>
      </c>
      <c r="D43" s="14" t="str" cm="1">
        <f t="array" ref="D43">IF(B43="","",INDEX(Parameters!$L$5:$L$104,B43))</f>
        <v>Proposed</v>
      </c>
      <c r="E43" s="14" t="str" cm="1">
        <f t="array" ref="E43">IF(A43="","",INDEX(Parameters!$C$5:$C$104,A43))</f>
        <v>Circle</v>
      </c>
      <c r="F43" s="14" t="str" cm="1">
        <f t="array" ref="F43">IF(A43="","",INDEX(Parameters!$G$5:$G$104,A43))</f>
        <v>ROUND</v>
      </c>
      <c r="G43" s="15" t="str">
        <f t="shared" si="4"/>
        <v>ROUND_PROPOSED</v>
      </c>
      <c r="H43" s="15" t="str">
        <f t="shared" si="5"/>
        <v>10.75 DIA PEDESTAL / Circle / Visibility: Proposed</v>
      </c>
      <c r="I43" s="14" t="str" cm="1">
        <f t="array" ref="I43">IF(A43="","",INDEX(Parameters!$B$5:$B$104,A43))</f>
        <v>10.75 DIA PEDESTAL</v>
      </c>
      <c r="J43"/>
    </row>
    <row r="44" spans="1:10" x14ac:dyDescent="0.25">
      <c r="A44" s="14">
        <f>IF(ROW()-3&lt;=Parameters!$N$7,INT((ROW()-4)/Parameters!$N$6)+1,"")</f>
        <v>9</v>
      </c>
      <c r="B44" s="14">
        <f>IF(A44="","",MOD(ROW()-4,Parameters!$N$6)+1)</f>
        <v>1</v>
      </c>
      <c r="C44" s="14" t="str">
        <f t="shared" si="3"/>
        <v>9-1</v>
      </c>
      <c r="D44" s="14" t="str" cm="1">
        <f t="array" ref="D44">IF(B44="","",INDEX(Parameters!$L$5:$L$104,B44))</f>
        <v>Standard</v>
      </c>
      <c r="E44" s="14" t="str" cm="1">
        <f t="array" ref="E44">IF(A44="","",INDEX(Parameters!$C$5:$C$104,A44))</f>
        <v>Circle</v>
      </c>
      <c r="F44" s="14" t="str" cm="1">
        <f t="array" ref="F44">IF(A44="","",INDEX(Parameters!$G$5:$G$104,A44))</f>
        <v>ROUND</v>
      </c>
      <c r="G44" s="15" t="str">
        <f t="shared" si="4"/>
        <v>ROUND_STANDARD</v>
      </c>
      <c r="H44" s="15" t="str">
        <f t="shared" si="5"/>
        <v>12 DIA PEDESTAL / Circle / Visibility: Standard</v>
      </c>
      <c r="I44" s="14" t="str" cm="1">
        <f t="array" ref="I44">IF(A44="","",INDEX(Parameters!$B$5:$B$104,A44))</f>
        <v>12 DIA PEDESTAL</v>
      </c>
      <c r="J44"/>
    </row>
    <row r="45" spans="1:10" x14ac:dyDescent="0.25">
      <c r="A45" s="14">
        <f>IF(ROW()-3&lt;=Parameters!$N$7,INT((ROW()-4)/Parameters!$N$6)+1,"")</f>
        <v>9</v>
      </c>
      <c r="B45" s="14">
        <f>IF(A45="","",MOD(ROW()-4,Parameters!$N$6)+1)</f>
        <v>2</v>
      </c>
      <c r="C45" s="14" t="str">
        <f t="shared" si="3"/>
        <v>9-2</v>
      </c>
      <c r="D45" s="14" t="str" cm="1">
        <f t="array" ref="D45">IF(B45="","",INDEX(Parameters!$L$5:$L$104,B45))</f>
        <v>With Label</v>
      </c>
      <c r="E45" s="14" t="str" cm="1">
        <f t="array" ref="E45">IF(A45="","",INDEX(Parameters!$C$5:$C$104,A45))</f>
        <v>Circle</v>
      </c>
      <c r="F45" s="14" t="str" cm="1">
        <f t="array" ref="F45">IF(A45="","",INDEX(Parameters!$G$5:$G$104,A45))</f>
        <v>ROUND</v>
      </c>
      <c r="G45" s="15" t="str">
        <f t="shared" si="4"/>
        <v>ROUND_WITH_LABEL</v>
      </c>
      <c r="H45" s="15" t="str">
        <f t="shared" si="5"/>
        <v>12 DIA PEDESTAL / Circle / Visibility: With Label</v>
      </c>
      <c r="I45" s="14" t="str" cm="1">
        <f t="array" ref="I45">IF(A45="","",INDEX(Parameters!$B$5:$B$104,A45))</f>
        <v>12 DIA PEDESTAL</v>
      </c>
      <c r="J45"/>
    </row>
    <row r="46" spans="1:10" x14ac:dyDescent="0.25">
      <c r="A46" s="14">
        <f>IF(ROW()-3&lt;=Parameters!$N$7,INT((ROW()-4)/Parameters!$N$6)+1,"")</f>
        <v>9</v>
      </c>
      <c r="B46" s="14">
        <f>IF(A46="","",MOD(ROW()-4,Parameters!$N$6)+1)</f>
        <v>3</v>
      </c>
      <c r="C46" s="14" t="str">
        <f t="shared" si="3"/>
        <v>9-3</v>
      </c>
      <c r="D46" s="14" t="str" cm="1">
        <f t="array" ref="D46">IF(B46="","",INDEX(Parameters!$L$5:$L$104,B46))</f>
        <v>With Callout</v>
      </c>
      <c r="E46" s="14" t="str" cm="1">
        <f t="array" ref="E46">IF(A46="","",INDEX(Parameters!$C$5:$C$104,A46))</f>
        <v>Circle</v>
      </c>
      <c r="F46" s="14" t="str" cm="1">
        <f t="array" ref="F46">IF(A46="","",INDEX(Parameters!$G$5:$G$104,A46))</f>
        <v>ROUND</v>
      </c>
      <c r="G46" s="15" t="str">
        <f t="shared" si="4"/>
        <v>ROUND_WITH_CALLOUT</v>
      </c>
      <c r="H46" s="15" t="str">
        <f t="shared" si="5"/>
        <v>12 DIA PEDESTAL / Circle / Visibility: With Callout</v>
      </c>
      <c r="I46" s="14" t="str" cm="1">
        <f t="array" ref="I46">IF(A46="","",INDEX(Parameters!$B$5:$B$104,A46))</f>
        <v>12 DIA PEDESTAL</v>
      </c>
      <c r="J46"/>
    </row>
    <row r="47" spans="1:10" x14ac:dyDescent="0.25">
      <c r="A47" s="14">
        <f>IF(ROW()-3&lt;=Parameters!$N$7,INT((ROW()-4)/Parameters!$N$6)+1,"")</f>
        <v>9</v>
      </c>
      <c r="B47" s="14">
        <f>IF(A47="","",MOD(ROW()-4,Parameters!$N$6)+1)</f>
        <v>4</v>
      </c>
      <c r="C47" s="14" t="str">
        <f t="shared" si="3"/>
        <v>9-4</v>
      </c>
      <c r="D47" s="14" t="str" cm="1">
        <f t="array" ref="D47">IF(B47="","",INDEX(Parameters!$L$5:$L$104,B47))</f>
        <v>Existing</v>
      </c>
      <c r="E47" s="14" t="str" cm="1">
        <f t="array" ref="E47">IF(A47="","",INDEX(Parameters!$C$5:$C$104,A47))</f>
        <v>Circle</v>
      </c>
      <c r="F47" s="14" t="str" cm="1">
        <f t="array" ref="F47">IF(A47="","",INDEX(Parameters!$G$5:$G$104,A47))</f>
        <v>ROUND</v>
      </c>
      <c r="G47" s="15" t="str">
        <f t="shared" si="4"/>
        <v>ROUND_EXISTING</v>
      </c>
      <c r="H47" s="15" t="str">
        <f t="shared" si="5"/>
        <v>12 DIA PEDESTAL / Circle / Visibility: Existing</v>
      </c>
      <c r="I47" s="14" t="str" cm="1">
        <f t="array" ref="I47">IF(A47="","",INDEX(Parameters!$B$5:$B$104,A47))</f>
        <v>12 DIA PEDESTAL</v>
      </c>
      <c r="J47"/>
    </row>
    <row r="48" spans="1:10" x14ac:dyDescent="0.25">
      <c r="A48" s="14">
        <f>IF(ROW()-3&lt;=Parameters!$N$7,INT((ROW()-4)/Parameters!$N$6)+1,"")</f>
        <v>9</v>
      </c>
      <c r="B48" s="14">
        <f>IF(A48="","",MOD(ROW()-4,Parameters!$N$6)+1)</f>
        <v>5</v>
      </c>
      <c r="C48" s="14" t="str">
        <f t="shared" si="3"/>
        <v>9-5</v>
      </c>
      <c r="D48" s="14" t="str" cm="1">
        <f t="array" ref="D48">IF(B48="","",INDEX(Parameters!$L$5:$L$104,B48))</f>
        <v>Proposed</v>
      </c>
      <c r="E48" s="14" t="str" cm="1">
        <f t="array" ref="E48">IF(A48="","",INDEX(Parameters!$C$5:$C$104,A48))</f>
        <v>Circle</v>
      </c>
      <c r="F48" s="14" t="str" cm="1">
        <f t="array" ref="F48">IF(A48="","",INDEX(Parameters!$G$5:$G$104,A48))</f>
        <v>ROUND</v>
      </c>
      <c r="G48" s="15" t="str">
        <f t="shared" si="4"/>
        <v>ROUND_PROPOSED</v>
      </c>
      <c r="H48" s="15" t="str">
        <f t="shared" si="5"/>
        <v>12 DIA PEDESTAL / Circle / Visibility: Proposed</v>
      </c>
      <c r="I48" s="14" t="str" cm="1">
        <f t="array" ref="I48">IF(A48="","",INDEX(Parameters!$B$5:$B$104,A48))</f>
        <v>12 DIA PEDESTAL</v>
      </c>
      <c r="J48"/>
    </row>
    <row r="49" spans="1:10" x14ac:dyDescent="0.25">
      <c r="A49" s="14">
        <f>IF(ROW()-3&lt;=Parameters!$N$7,INT((ROW()-4)/Parameters!$N$6)+1,"")</f>
        <v>10</v>
      </c>
      <c r="B49" s="14">
        <f>IF(A49="","",MOD(ROW()-4,Parameters!$N$6)+1)</f>
        <v>1</v>
      </c>
      <c r="C49" s="14" t="str">
        <f t="shared" si="3"/>
        <v>10-1</v>
      </c>
      <c r="D49" s="14" t="str" cm="1">
        <f t="array" ref="D49">IF(B49="","",INDEX(Parameters!$L$5:$L$104,B49))</f>
        <v>Standard</v>
      </c>
      <c r="E49" s="14" t="str" cm="1">
        <f t="array" ref="E49">IF(A49="","",INDEX(Parameters!$C$5:$C$104,A49))</f>
        <v>Circle</v>
      </c>
      <c r="F49" s="14" t="str" cm="1">
        <f t="array" ref="F49">IF(A49="","",INDEX(Parameters!$G$5:$G$104,A49))</f>
        <v>ROUND</v>
      </c>
      <c r="G49" s="15" t="str">
        <f t="shared" si="4"/>
        <v>ROUND_STANDARD</v>
      </c>
      <c r="H49" s="15" t="str">
        <f t="shared" si="5"/>
        <v>13 DIA PEDESTAL / Circle / Visibility: Standard</v>
      </c>
      <c r="I49" s="14" t="str" cm="1">
        <f t="array" ref="I49">IF(A49="","",INDEX(Parameters!$B$5:$B$104,A49))</f>
        <v>13 DIA PEDESTAL</v>
      </c>
      <c r="J49"/>
    </row>
    <row r="50" spans="1:10" x14ac:dyDescent="0.25">
      <c r="A50" s="14">
        <f>IF(ROW()-3&lt;=Parameters!$N$7,INT((ROW()-4)/Parameters!$N$6)+1,"")</f>
        <v>10</v>
      </c>
      <c r="B50" s="14">
        <f>IF(A50="","",MOD(ROW()-4,Parameters!$N$6)+1)</f>
        <v>2</v>
      </c>
      <c r="C50" s="14" t="str">
        <f t="shared" si="3"/>
        <v>10-2</v>
      </c>
      <c r="D50" s="14" t="str" cm="1">
        <f t="array" ref="D50">IF(B50="","",INDEX(Parameters!$L$5:$L$104,B50))</f>
        <v>With Label</v>
      </c>
      <c r="E50" s="14" t="str" cm="1">
        <f t="array" ref="E50">IF(A50="","",INDEX(Parameters!$C$5:$C$104,A50))</f>
        <v>Circle</v>
      </c>
      <c r="F50" s="14" t="str" cm="1">
        <f t="array" ref="F50">IF(A50="","",INDEX(Parameters!$G$5:$G$104,A50))</f>
        <v>ROUND</v>
      </c>
      <c r="G50" s="15" t="str">
        <f t="shared" si="4"/>
        <v>ROUND_WITH_LABEL</v>
      </c>
      <c r="H50" s="15" t="str">
        <f t="shared" si="5"/>
        <v>13 DIA PEDESTAL / Circle / Visibility: With Label</v>
      </c>
      <c r="I50" s="14" t="str" cm="1">
        <f t="array" ref="I50">IF(A50="","",INDEX(Parameters!$B$5:$B$104,A50))</f>
        <v>13 DIA PEDESTAL</v>
      </c>
      <c r="J50"/>
    </row>
    <row r="51" spans="1:10" x14ac:dyDescent="0.25">
      <c r="A51" s="14">
        <f>IF(ROW()-3&lt;=Parameters!$N$7,INT((ROW()-4)/Parameters!$N$6)+1,"")</f>
        <v>10</v>
      </c>
      <c r="B51" s="14">
        <f>IF(A51="","",MOD(ROW()-4,Parameters!$N$6)+1)</f>
        <v>3</v>
      </c>
      <c r="C51" s="14" t="str">
        <f t="shared" si="3"/>
        <v>10-3</v>
      </c>
      <c r="D51" s="14" t="str" cm="1">
        <f t="array" ref="D51">IF(B51="","",INDEX(Parameters!$L$5:$L$104,B51))</f>
        <v>With Callout</v>
      </c>
      <c r="E51" s="14" t="str" cm="1">
        <f t="array" ref="E51">IF(A51="","",INDEX(Parameters!$C$5:$C$104,A51))</f>
        <v>Circle</v>
      </c>
      <c r="F51" s="14" t="str" cm="1">
        <f t="array" ref="F51">IF(A51="","",INDEX(Parameters!$G$5:$G$104,A51))</f>
        <v>ROUND</v>
      </c>
      <c r="G51" s="15" t="str">
        <f t="shared" si="4"/>
        <v>ROUND_WITH_CALLOUT</v>
      </c>
      <c r="H51" s="15" t="str">
        <f t="shared" si="5"/>
        <v>13 DIA PEDESTAL / Circle / Visibility: With Callout</v>
      </c>
      <c r="I51" s="14" t="str" cm="1">
        <f t="array" ref="I51">IF(A51="","",INDEX(Parameters!$B$5:$B$104,A51))</f>
        <v>13 DIA PEDESTAL</v>
      </c>
      <c r="J51"/>
    </row>
    <row r="52" spans="1:10" x14ac:dyDescent="0.25">
      <c r="A52" s="14">
        <f>IF(ROW()-3&lt;=Parameters!$N$7,INT((ROW()-4)/Parameters!$N$6)+1,"")</f>
        <v>10</v>
      </c>
      <c r="B52" s="14">
        <f>IF(A52="","",MOD(ROW()-4,Parameters!$N$6)+1)</f>
        <v>4</v>
      </c>
      <c r="C52" s="14" t="str">
        <f t="shared" si="3"/>
        <v>10-4</v>
      </c>
      <c r="D52" s="14" t="str" cm="1">
        <f t="array" ref="D52">IF(B52="","",INDEX(Parameters!$L$5:$L$104,B52))</f>
        <v>Existing</v>
      </c>
      <c r="E52" s="14" t="str" cm="1">
        <f t="array" ref="E52">IF(A52="","",INDEX(Parameters!$C$5:$C$104,A52))</f>
        <v>Circle</v>
      </c>
      <c r="F52" s="14" t="str" cm="1">
        <f t="array" ref="F52">IF(A52="","",INDEX(Parameters!$G$5:$G$104,A52))</f>
        <v>ROUND</v>
      </c>
      <c r="G52" s="15" t="str">
        <f t="shared" si="4"/>
        <v>ROUND_EXISTING</v>
      </c>
      <c r="H52" s="15" t="str">
        <f t="shared" si="5"/>
        <v>13 DIA PEDESTAL / Circle / Visibility: Existing</v>
      </c>
      <c r="I52" s="14" t="str" cm="1">
        <f t="array" ref="I52">IF(A52="","",INDEX(Parameters!$B$5:$B$104,A52))</f>
        <v>13 DIA PEDESTAL</v>
      </c>
      <c r="J52"/>
    </row>
    <row r="53" spans="1:10" x14ac:dyDescent="0.25">
      <c r="A53" s="14">
        <f>IF(ROW()-3&lt;=Parameters!$N$7,INT((ROW()-4)/Parameters!$N$6)+1,"")</f>
        <v>10</v>
      </c>
      <c r="B53" s="14">
        <f>IF(A53="","",MOD(ROW()-4,Parameters!$N$6)+1)</f>
        <v>5</v>
      </c>
      <c r="C53" s="14" t="str">
        <f t="shared" si="3"/>
        <v>10-5</v>
      </c>
      <c r="D53" s="14" t="str" cm="1">
        <f t="array" ref="D53">IF(B53="","",INDEX(Parameters!$L$5:$L$104,B53))</f>
        <v>Proposed</v>
      </c>
      <c r="E53" s="14" t="str" cm="1">
        <f t="array" ref="E53">IF(A53="","",INDEX(Parameters!$C$5:$C$104,A53))</f>
        <v>Circle</v>
      </c>
      <c r="F53" s="14" t="str" cm="1">
        <f t="array" ref="F53">IF(A53="","",INDEX(Parameters!$G$5:$G$104,A53))</f>
        <v>ROUND</v>
      </c>
      <c r="G53" s="15" t="str">
        <f t="shared" si="4"/>
        <v>ROUND_PROPOSED</v>
      </c>
      <c r="H53" s="15" t="str">
        <f t="shared" si="5"/>
        <v>13 DIA PEDESTAL / Circle / Visibility: Proposed</v>
      </c>
      <c r="I53" s="14" t="str" cm="1">
        <f t="array" ref="I53">IF(A53="","",INDEX(Parameters!$B$5:$B$104,A53))</f>
        <v>13 DIA PEDESTAL</v>
      </c>
      <c r="J53"/>
    </row>
    <row r="54" spans="1:10" x14ac:dyDescent="0.25">
      <c r="A54" s="14">
        <f>IF(ROW()-3&lt;=Parameters!$N$7,INT((ROW()-4)/Parameters!$N$6)+1,"")</f>
        <v>11</v>
      </c>
      <c r="B54" s="14">
        <f>IF(A54="","",MOD(ROW()-4,Parameters!$N$6)+1)</f>
        <v>1</v>
      </c>
      <c r="C54" s="14" t="str">
        <f t="shared" si="3"/>
        <v>11-1</v>
      </c>
      <c r="D54" s="14" t="str" cm="1">
        <f t="array" ref="D54">IF(B54="","",INDEX(Parameters!$L$5:$L$104,B54))</f>
        <v>Standard</v>
      </c>
      <c r="E54" s="14" t="str" cm="1">
        <f t="array" ref="E54">IF(A54="","",INDEX(Parameters!$C$5:$C$104,A54))</f>
        <v>Large Rectangle</v>
      </c>
      <c r="F54" s="14" t="str" cm="1">
        <f t="array" ref="F54">IF(A54="","",INDEX(Parameters!$G$5:$G$104,A54))</f>
        <v>LARGE RECTANGLE</v>
      </c>
      <c r="G54" s="15" t="str">
        <f t="shared" si="4"/>
        <v>LARGE RECTANGLE_STANDARD</v>
      </c>
      <c r="H54" s="15" t="str">
        <f t="shared" si="5"/>
        <v>24x36 PEDESTAL / Large Rectangle / Visibility: Standard</v>
      </c>
      <c r="I54" s="14" t="str" cm="1">
        <f t="array" ref="I54">IF(A54="","",INDEX(Parameters!$B$5:$B$104,A54))</f>
        <v>24x36 PEDESTAL</v>
      </c>
      <c r="J54"/>
    </row>
    <row r="55" spans="1:10" x14ac:dyDescent="0.25">
      <c r="A55" s="14">
        <f>IF(ROW()-3&lt;=Parameters!$N$7,INT((ROW()-4)/Parameters!$N$6)+1,"")</f>
        <v>11</v>
      </c>
      <c r="B55" s="14">
        <f>IF(A55="","",MOD(ROW()-4,Parameters!$N$6)+1)</f>
        <v>2</v>
      </c>
      <c r="C55" s="14" t="str">
        <f t="shared" si="3"/>
        <v>11-2</v>
      </c>
      <c r="D55" s="14" t="str" cm="1">
        <f t="array" ref="D55">IF(B55="","",INDEX(Parameters!$L$5:$L$104,B55))</f>
        <v>With Label</v>
      </c>
      <c r="E55" s="14" t="str" cm="1">
        <f t="array" ref="E55">IF(A55="","",INDEX(Parameters!$C$5:$C$104,A55))</f>
        <v>Large Rectangle</v>
      </c>
      <c r="F55" s="14" t="str" cm="1">
        <f t="array" ref="F55">IF(A55="","",INDEX(Parameters!$G$5:$G$104,A55))</f>
        <v>LARGE RECTANGLE</v>
      </c>
      <c r="G55" s="15" t="str">
        <f t="shared" si="4"/>
        <v>LARGE RECTANGLE_WITH_LABEL</v>
      </c>
      <c r="H55" s="15" t="str">
        <f t="shared" si="5"/>
        <v>24x36 PEDESTAL / Large Rectangle / Visibility: With Label</v>
      </c>
      <c r="I55" s="14" t="str" cm="1">
        <f t="array" ref="I55">IF(A55="","",INDEX(Parameters!$B$5:$B$104,A55))</f>
        <v>24x36 PEDESTAL</v>
      </c>
      <c r="J55"/>
    </row>
    <row r="56" spans="1:10" x14ac:dyDescent="0.25">
      <c r="A56" s="14">
        <f>IF(ROW()-3&lt;=Parameters!$N$7,INT((ROW()-4)/Parameters!$N$6)+1,"")</f>
        <v>11</v>
      </c>
      <c r="B56" s="14">
        <f>IF(A56="","",MOD(ROW()-4,Parameters!$N$6)+1)</f>
        <v>3</v>
      </c>
      <c r="C56" s="14" t="str">
        <f t="shared" si="3"/>
        <v>11-3</v>
      </c>
      <c r="D56" s="14" t="str" cm="1">
        <f t="array" ref="D56">IF(B56="","",INDEX(Parameters!$L$5:$L$104,B56))</f>
        <v>With Callout</v>
      </c>
      <c r="E56" s="14" t="str" cm="1">
        <f t="array" ref="E56">IF(A56="","",INDEX(Parameters!$C$5:$C$104,A56))</f>
        <v>Large Rectangle</v>
      </c>
      <c r="F56" s="14" t="str" cm="1">
        <f t="array" ref="F56">IF(A56="","",INDEX(Parameters!$G$5:$G$104,A56))</f>
        <v>LARGE RECTANGLE</v>
      </c>
      <c r="G56" s="15" t="str">
        <f t="shared" si="4"/>
        <v>LARGE RECTANGLE_WITH_CALLOUT</v>
      </c>
      <c r="H56" s="15" t="str">
        <f t="shared" si="5"/>
        <v>24x36 PEDESTAL / Large Rectangle / Visibility: With Callout</v>
      </c>
      <c r="I56" s="14" t="str" cm="1">
        <f t="array" ref="I56">IF(A56="","",INDEX(Parameters!$B$5:$B$104,A56))</f>
        <v>24x36 PEDESTAL</v>
      </c>
      <c r="J56"/>
    </row>
    <row r="57" spans="1:10" x14ac:dyDescent="0.25">
      <c r="A57" s="14">
        <f>IF(ROW()-3&lt;=Parameters!$N$7,INT((ROW()-4)/Parameters!$N$6)+1,"")</f>
        <v>11</v>
      </c>
      <c r="B57" s="14">
        <f>IF(A57="","",MOD(ROW()-4,Parameters!$N$6)+1)</f>
        <v>4</v>
      </c>
      <c r="C57" s="14" t="str">
        <f t="shared" si="3"/>
        <v>11-4</v>
      </c>
      <c r="D57" s="14" t="str" cm="1">
        <f t="array" ref="D57">IF(B57="","",INDEX(Parameters!$L$5:$L$104,B57))</f>
        <v>Existing</v>
      </c>
      <c r="E57" s="14" t="str" cm="1">
        <f t="array" ref="E57">IF(A57="","",INDEX(Parameters!$C$5:$C$104,A57))</f>
        <v>Large Rectangle</v>
      </c>
      <c r="F57" s="14" t="str" cm="1">
        <f t="array" ref="F57">IF(A57="","",INDEX(Parameters!$G$5:$G$104,A57))</f>
        <v>LARGE RECTANGLE</v>
      </c>
      <c r="G57" s="15" t="str">
        <f t="shared" si="4"/>
        <v>LARGE RECTANGLE_EXISTING</v>
      </c>
      <c r="H57" s="15" t="str">
        <f t="shared" si="5"/>
        <v>24x36 PEDESTAL / Large Rectangle / Visibility: Existing</v>
      </c>
      <c r="I57" s="14" t="str" cm="1">
        <f t="array" ref="I57">IF(A57="","",INDEX(Parameters!$B$5:$B$104,A57))</f>
        <v>24x36 PEDESTAL</v>
      </c>
      <c r="J57"/>
    </row>
    <row r="58" spans="1:10" x14ac:dyDescent="0.25">
      <c r="A58" s="14">
        <f>IF(ROW()-3&lt;=Parameters!$N$7,INT((ROW()-4)/Parameters!$N$6)+1,"")</f>
        <v>11</v>
      </c>
      <c r="B58" s="14">
        <f>IF(A58="","",MOD(ROW()-4,Parameters!$N$6)+1)</f>
        <v>5</v>
      </c>
      <c r="C58" s="14" t="str">
        <f t="shared" si="3"/>
        <v>11-5</v>
      </c>
      <c r="D58" s="14" t="str" cm="1">
        <f t="array" ref="D58">IF(B58="","",INDEX(Parameters!$L$5:$L$104,B58))</f>
        <v>Proposed</v>
      </c>
      <c r="E58" s="14" t="str" cm="1">
        <f t="array" ref="E58">IF(A58="","",INDEX(Parameters!$C$5:$C$104,A58))</f>
        <v>Large Rectangle</v>
      </c>
      <c r="F58" s="14" t="str" cm="1">
        <f t="array" ref="F58">IF(A58="","",INDEX(Parameters!$G$5:$G$104,A58))</f>
        <v>LARGE RECTANGLE</v>
      </c>
      <c r="G58" s="15" t="str">
        <f t="shared" si="4"/>
        <v>LARGE RECTANGLE_PROPOSED</v>
      </c>
      <c r="H58" s="15" t="str">
        <f t="shared" si="5"/>
        <v>24x36 PEDESTAL / Large Rectangle / Visibility: Proposed</v>
      </c>
      <c r="I58" s="14" t="str" cm="1">
        <f t="array" ref="I58">IF(A58="","",INDEX(Parameters!$B$5:$B$104,A58))</f>
        <v>24x36 PEDESTAL</v>
      </c>
      <c r="J58"/>
    </row>
    <row r="59" spans="1:10" x14ac:dyDescent="0.25">
      <c r="A59" s="14">
        <f>IF(ROW()-3&lt;=Parameters!$N$7,INT((ROW()-4)/Parameters!$N$6)+1,"")</f>
        <v>12</v>
      </c>
      <c r="B59" s="14">
        <f>IF(A59="","",MOD(ROW()-4,Parameters!$N$6)+1)</f>
        <v>1</v>
      </c>
      <c r="C59" s="14" t="str">
        <f t="shared" si="3"/>
        <v>12-1</v>
      </c>
      <c r="D59" s="14" t="str" cm="1">
        <f t="array" ref="D59">IF(B59="","",INDEX(Parameters!$L$5:$L$104,B59))</f>
        <v>Standard</v>
      </c>
      <c r="E59" s="14" t="str" cm="1">
        <f t="array" ref="E59">IF(A59="","",INDEX(Parameters!$C$5:$C$104,A59))</f>
        <v>Large Rectangle</v>
      </c>
      <c r="F59" s="14" t="str" cm="1">
        <f t="array" ref="F59">IF(A59="","",INDEX(Parameters!$G$5:$G$104,A59))</f>
        <v>LARGE RECTANGLE</v>
      </c>
      <c r="G59" s="15" t="str">
        <f t="shared" si="4"/>
        <v>LARGE RECTANGLE_STANDARD</v>
      </c>
      <c r="H59" s="15" t="str">
        <f t="shared" si="5"/>
        <v>24x42 PEDESTAL / Large Rectangle / Visibility: Standard</v>
      </c>
      <c r="I59" s="14" t="str" cm="1">
        <f t="array" ref="I59">IF(A59="","",INDEX(Parameters!$B$5:$B$104,A59))</f>
        <v>24x42 PEDESTAL</v>
      </c>
      <c r="J59"/>
    </row>
    <row r="60" spans="1:10" x14ac:dyDescent="0.25">
      <c r="A60" s="14">
        <f>IF(ROW()-3&lt;=Parameters!$N$7,INT((ROW()-4)/Parameters!$N$6)+1,"")</f>
        <v>12</v>
      </c>
      <c r="B60" s="14">
        <f>IF(A60="","",MOD(ROW()-4,Parameters!$N$6)+1)</f>
        <v>2</v>
      </c>
      <c r="C60" s="14" t="str">
        <f t="shared" si="3"/>
        <v>12-2</v>
      </c>
      <c r="D60" s="14" t="str" cm="1">
        <f t="array" ref="D60">IF(B60="","",INDEX(Parameters!$L$5:$L$104,B60))</f>
        <v>With Label</v>
      </c>
      <c r="E60" s="14" t="str" cm="1">
        <f t="array" ref="E60">IF(A60="","",INDEX(Parameters!$C$5:$C$104,A60))</f>
        <v>Large Rectangle</v>
      </c>
      <c r="F60" s="14" t="str" cm="1">
        <f t="array" ref="F60">IF(A60="","",INDEX(Parameters!$G$5:$G$104,A60))</f>
        <v>LARGE RECTANGLE</v>
      </c>
      <c r="G60" s="15" t="str">
        <f t="shared" si="4"/>
        <v>LARGE RECTANGLE_WITH_LABEL</v>
      </c>
      <c r="H60" s="15" t="str">
        <f t="shared" si="5"/>
        <v>24x42 PEDESTAL / Large Rectangle / Visibility: With Label</v>
      </c>
      <c r="I60" s="14" t="str" cm="1">
        <f t="array" ref="I60">IF(A60="","",INDEX(Parameters!$B$5:$B$104,A60))</f>
        <v>24x42 PEDESTAL</v>
      </c>
      <c r="J60"/>
    </row>
    <row r="61" spans="1:10" x14ac:dyDescent="0.25">
      <c r="A61" s="14">
        <f>IF(ROW()-3&lt;=Parameters!$N$7,INT((ROW()-4)/Parameters!$N$6)+1,"")</f>
        <v>12</v>
      </c>
      <c r="B61" s="14">
        <f>IF(A61="","",MOD(ROW()-4,Parameters!$N$6)+1)</f>
        <v>3</v>
      </c>
      <c r="C61" s="14" t="str">
        <f t="shared" si="3"/>
        <v>12-3</v>
      </c>
      <c r="D61" s="14" t="str" cm="1">
        <f t="array" ref="D61">IF(B61="","",INDEX(Parameters!$L$5:$L$104,B61))</f>
        <v>With Callout</v>
      </c>
      <c r="E61" s="14" t="str" cm="1">
        <f t="array" ref="E61">IF(A61="","",INDEX(Parameters!$C$5:$C$104,A61))</f>
        <v>Large Rectangle</v>
      </c>
      <c r="F61" s="14" t="str" cm="1">
        <f t="array" ref="F61">IF(A61="","",INDEX(Parameters!$G$5:$G$104,A61))</f>
        <v>LARGE RECTANGLE</v>
      </c>
      <c r="G61" s="15" t="str">
        <f t="shared" si="4"/>
        <v>LARGE RECTANGLE_WITH_CALLOUT</v>
      </c>
      <c r="H61" s="15" t="str">
        <f t="shared" si="5"/>
        <v>24x42 PEDESTAL / Large Rectangle / Visibility: With Callout</v>
      </c>
      <c r="I61" s="14" t="str" cm="1">
        <f t="array" ref="I61">IF(A61="","",INDEX(Parameters!$B$5:$B$104,A61))</f>
        <v>24x42 PEDESTAL</v>
      </c>
      <c r="J61"/>
    </row>
    <row r="62" spans="1:10" x14ac:dyDescent="0.25">
      <c r="A62" s="14">
        <f>IF(ROW()-3&lt;=Parameters!$N$7,INT((ROW()-4)/Parameters!$N$6)+1,"")</f>
        <v>12</v>
      </c>
      <c r="B62" s="14">
        <f>IF(A62="","",MOD(ROW()-4,Parameters!$N$6)+1)</f>
        <v>4</v>
      </c>
      <c r="C62" s="14" t="str">
        <f t="shared" si="3"/>
        <v>12-4</v>
      </c>
      <c r="D62" s="14" t="str" cm="1">
        <f t="array" ref="D62">IF(B62="","",INDEX(Parameters!$L$5:$L$104,B62))</f>
        <v>Existing</v>
      </c>
      <c r="E62" s="14" t="str" cm="1">
        <f t="array" ref="E62">IF(A62="","",INDEX(Parameters!$C$5:$C$104,A62))</f>
        <v>Large Rectangle</v>
      </c>
      <c r="F62" s="14" t="str" cm="1">
        <f t="array" ref="F62">IF(A62="","",INDEX(Parameters!$G$5:$G$104,A62))</f>
        <v>LARGE RECTANGLE</v>
      </c>
      <c r="G62" s="15" t="str">
        <f t="shared" si="4"/>
        <v>LARGE RECTANGLE_EXISTING</v>
      </c>
      <c r="H62" s="15" t="str">
        <f t="shared" si="5"/>
        <v>24x42 PEDESTAL / Large Rectangle / Visibility: Existing</v>
      </c>
      <c r="I62" s="14" t="str" cm="1">
        <f t="array" ref="I62">IF(A62="","",INDEX(Parameters!$B$5:$B$104,A62))</f>
        <v>24x42 PEDESTAL</v>
      </c>
      <c r="J62"/>
    </row>
    <row r="63" spans="1:10" x14ac:dyDescent="0.25">
      <c r="A63" s="14">
        <f>IF(ROW()-3&lt;=Parameters!$N$7,INT((ROW()-4)/Parameters!$N$6)+1,"")</f>
        <v>12</v>
      </c>
      <c r="B63" s="14">
        <f>IF(A63="","",MOD(ROW()-4,Parameters!$N$6)+1)</f>
        <v>5</v>
      </c>
      <c r="C63" s="14" t="str">
        <f t="shared" si="3"/>
        <v>12-5</v>
      </c>
      <c r="D63" s="14" t="str" cm="1">
        <f t="array" ref="D63">IF(B63="","",INDEX(Parameters!$L$5:$L$104,B63))</f>
        <v>Proposed</v>
      </c>
      <c r="E63" s="14" t="str" cm="1">
        <f t="array" ref="E63">IF(A63="","",INDEX(Parameters!$C$5:$C$104,A63))</f>
        <v>Large Rectangle</v>
      </c>
      <c r="F63" s="14" t="str" cm="1">
        <f t="array" ref="F63">IF(A63="","",INDEX(Parameters!$G$5:$G$104,A63))</f>
        <v>LARGE RECTANGLE</v>
      </c>
      <c r="G63" s="15" t="str">
        <f t="shared" si="4"/>
        <v>LARGE RECTANGLE_PROPOSED</v>
      </c>
      <c r="H63" s="15" t="str">
        <f t="shared" si="5"/>
        <v>24x42 PEDESTAL / Large Rectangle / Visibility: Proposed</v>
      </c>
      <c r="I63" s="14" t="str" cm="1">
        <f t="array" ref="I63">IF(A63="","",INDEX(Parameters!$B$5:$B$104,A63))</f>
        <v>24x42 PEDESTAL</v>
      </c>
      <c r="J63"/>
    </row>
    <row r="64" spans="1:10" x14ac:dyDescent="0.25">
      <c r="A64" s="14">
        <f>IF(ROW()-3&lt;=Parameters!$N$7,INT((ROW()-4)/Parameters!$N$6)+1,"")</f>
        <v>13</v>
      </c>
      <c r="B64" s="14">
        <f>IF(A64="","",MOD(ROW()-4,Parameters!$N$6)+1)</f>
        <v>1</v>
      </c>
      <c r="C64" s="14" t="str">
        <f t="shared" si="3"/>
        <v>13-1</v>
      </c>
      <c r="D64" s="14" t="str" cm="1">
        <f t="array" ref="D64">IF(B64="","",INDEX(Parameters!$L$5:$L$104,B64))</f>
        <v>Standard</v>
      </c>
      <c r="E64" s="14" t="str" cm="1">
        <f t="array" ref="E64">IF(A64="","",INDEX(Parameters!$C$5:$C$104,A64))</f>
        <v>Large Rectangle</v>
      </c>
      <c r="F64" s="14" t="str" cm="1">
        <f t="array" ref="F64">IF(A64="","",INDEX(Parameters!$G$5:$G$104,A64))</f>
        <v>LARGE RECTANGLE</v>
      </c>
      <c r="G64" s="15" t="str">
        <f t="shared" si="4"/>
        <v>LARGE RECTANGLE_STANDARD</v>
      </c>
      <c r="H64" s="15" t="str">
        <f t="shared" si="5"/>
        <v>30x48 PEDESTAL / Large Rectangle / Visibility: Standard</v>
      </c>
      <c r="I64" s="14" t="str" cm="1">
        <f t="array" ref="I64">IF(A64="","",INDEX(Parameters!$B$5:$B$104,A64))</f>
        <v>30x48 PEDESTAL</v>
      </c>
      <c r="J64"/>
    </row>
    <row r="65" spans="1:10" x14ac:dyDescent="0.25">
      <c r="A65" s="14">
        <f>IF(ROW()-3&lt;=Parameters!$N$7,INT((ROW()-4)/Parameters!$N$6)+1,"")</f>
        <v>13</v>
      </c>
      <c r="B65" s="14">
        <f>IF(A65="","",MOD(ROW()-4,Parameters!$N$6)+1)</f>
        <v>2</v>
      </c>
      <c r="C65" s="14" t="str">
        <f t="shared" si="3"/>
        <v>13-2</v>
      </c>
      <c r="D65" s="14" t="str" cm="1">
        <f t="array" ref="D65">IF(B65="","",INDEX(Parameters!$L$5:$L$104,B65))</f>
        <v>With Label</v>
      </c>
      <c r="E65" s="14" t="str" cm="1">
        <f t="array" ref="E65">IF(A65="","",INDEX(Parameters!$C$5:$C$104,A65))</f>
        <v>Large Rectangle</v>
      </c>
      <c r="F65" s="14" t="str" cm="1">
        <f t="array" ref="F65">IF(A65="","",INDEX(Parameters!$G$5:$G$104,A65))</f>
        <v>LARGE RECTANGLE</v>
      </c>
      <c r="G65" s="15" t="str">
        <f t="shared" si="4"/>
        <v>LARGE RECTANGLE_WITH_LABEL</v>
      </c>
      <c r="H65" s="15" t="str">
        <f t="shared" si="5"/>
        <v>30x48 PEDESTAL / Large Rectangle / Visibility: With Label</v>
      </c>
      <c r="I65" s="14" t="str" cm="1">
        <f t="array" ref="I65">IF(A65="","",INDEX(Parameters!$B$5:$B$104,A65))</f>
        <v>30x48 PEDESTAL</v>
      </c>
      <c r="J65"/>
    </row>
    <row r="66" spans="1:10" x14ac:dyDescent="0.25">
      <c r="A66" s="14">
        <f>IF(ROW()-3&lt;=Parameters!$N$7,INT((ROW()-4)/Parameters!$N$6)+1,"")</f>
        <v>13</v>
      </c>
      <c r="B66" s="14">
        <f>IF(A66="","",MOD(ROW()-4,Parameters!$N$6)+1)</f>
        <v>3</v>
      </c>
      <c r="C66" s="14" t="str">
        <f t="shared" si="3"/>
        <v>13-3</v>
      </c>
      <c r="D66" s="14" t="str" cm="1">
        <f t="array" ref="D66">IF(B66="","",INDEX(Parameters!$L$5:$L$104,B66))</f>
        <v>With Callout</v>
      </c>
      <c r="E66" s="14" t="str" cm="1">
        <f t="array" ref="E66">IF(A66="","",INDEX(Parameters!$C$5:$C$104,A66))</f>
        <v>Large Rectangle</v>
      </c>
      <c r="F66" s="14" t="str" cm="1">
        <f t="array" ref="F66">IF(A66="","",INDEX(Parameters!$G$5:$G$104,A66))</f>
        <v>LARGE RECTANGLE</v>
      </c>
      <c r="G66" s="15" t="str">
        <f t="shared" si="4"/>
        <v>LARGE RECTANGLE_WITH_CALLOUT</v>
      </c>
      <c r="H66" s="15" t="str">
        <f t="shared" si="5"/>
        <v>30x48 PEDESTAL / Large Rectangle / Visibility: With Callout</v>
      </c>
      <c r="I66" s="14" t="str" cm="1">
        <f t="array" ref="I66">IF(A66="","",INDEX(Parameters!$B$5:$B$104,A66))</f>
        <v>30x48 PEDESTAL</v>
      </c>
      <c r="J66"/>
    </row>
    <row r="67" spans="1:10" x14ac:dyDescent="0.25">
      <c r="A67" s="14">
        <f>IF(ROW()-3&lt;=Parameters!$N$7,INT((ROW()-4)/Parameters!$N$6)+1,"")</f>
        <v>13</v>
      </c>
      <c r="B67" s="14">
        <f>IF(A67="","",MOD(ROW()-4,Parameters!$N$6)+1)</f>
        <v>4</v>
      </c>
      <c r="C67" s="14" t="str">
        <f t="shared" si="3"/>
        <v>13-4</v>
      </c>
      <c r="D67" s="14" t="str" cm="1">
        <f t="array" ref="D67">IF(B67="","",INDEX(Parameters!$L$5:$L$104,B67))</f>
        <v>Existing</v>
      </c>
      <c r="E67" s="14" t="str" cm="1">
        <f t="array" ref="E67">IF(A67="","",INDEX(Parameters!$C$5:$C$104,A67))</f>
        <v>Large Rectangle</v>
      </c>
      <c r="F67" s="14" t="str" cm="1">
        <f t="array" ref="F67">IF(A67="","",INDEX(Parameters!$G$5:$G$104,A67))</f>
        <v>LARGE RECTANGLE</v>
      </c>
      <c r="G67" s="15" t="str">
        <f t="shared" si="4"/>
        <v>LARGE RECTANGLE_EXISTING</v>
      </c>
      <c r="H67" s="15" t="str">
        <f t="shared" si="5"/>
        <v>30x48 PEDESTAL / Large Rectangle / Visibility: Existing</v>
      </c>
      <c r="I67" s="14" t="str" cm="1">
        <f t="array" ref="I67">IF(A67="","",INDEX(Parameters!$B$5:$B$104,A67))</f>
        <v>30x48 PEDESTAL</v>
      </c>
      <c r="J67"/>
    </row>
    <row r="68" spans="1:10" x14ac:dyDescent="0.25">
      <c r="A68" s="14">
        <f>IF(ROW()-3&lt;=Parameters!$N$7,INT((ROW()-4)/Parameters!$N$6)+1,"")</f>
        <v>13</v>
      </c>
      <c r="B68" s="14">
        <f>IF(A68="","",MOD(ROW()-4,Parameters!$N$6)+1)</f>
        <v>5</v>
      </c>
      <c r="C68" s="14" t="str">
        <f t="shared" ref="C68:C99" si="6">IF(A68="","",A68&amp;"-"&amp;B68)</f>
        <v>13-5</v>
      </c>
      <c r="D68" s="14" t="str" cm="1">
        <f t="array" ref="D68">IF(B68="","",INDEX(Parameters!$L$5:$L$104,B68))</f>
        <v>Proposed</v>
      </c>
      <c r="E68" s="14" t="str" cm="1">
        <f t="array" ref="E68">IF(A68="","",INDEX(Parameters!$C$5:$C$104,A68))</f>
        <v>Large Rectangle</v>
      </c>
      <c r="F68" s="14" t="str" cm="1">
        <f t="array" ref="F68">IF(A68="","",INDEX(Parameters!$G$5:$G$104,A68))</f>
        <v>LARGE RECTANGLE</v>
      </c>
      <c r="G68" s="15" t="str">
        <f t="shared" ref="G68:G99" si="7">IF(F68="","",F68&amp;"_"&amp;UPPER(SUBSTITUTE(D68," ","_")))</f>
        <v>LARGE RECTANGLE_PROPOSED</v>
      </c>
      <c r="H68" s="15" t="str">
        <f t="shared" ref="H68:H99" si="8">IF(A68="","",I68&amp;" / "&amp;E68&amp;" / Visibility: "&amp;D68)</f>
        <v>30x48 PEDESTAL / Large Rectangle / Visibility: Proposed</v>
      </c>
      <c r="I68" s="14" t="str" cm="1">
        <f t="array" ref="I68">IF(A68="","",INDEX(Parameters!$B$5:$B$104,A68))</f>
        <v>30x48 PEDESTAL</v>
      </c>
      <c r="J68"/>
    </row>
    <row r="69" spans="1:10" x14ac:dyDescent="0.25">
      <c r="A69" s="14">
        <f>IF(ROW()-3&lt;=Parameters!$N$7,INT((ROW()-4)/Parameters!$N$6)+1,"")</f>
        <v>14</v>
      </c>
      <c r="B69" s="14">
        <f>IF(A69="","",MOD(ROW()-4,Parameters!$N$6)+1)</f>
        <v>1</v>
      </c>
      <c r="C69" s="14" t="str">
        <f t="shared" si="6"/>
        <v>14-1</v>
      </c>
      <c r="D69" s="14" t="str" cm="1">
        <f t="array" ref="D69">IF(B69="","",INDEX(Parameters!$L$5:$L$104,B69))</f>
        <v>Standard</v>
      </c>
      <c r="E69" s="14" t="str" cm="1">
        <f t="array" ref="E69">IF(A69="","",INDEX(Parameters!$C$5:$C$104,A69))</f>
        <v>House</v>
      </c>
      <c r="F69" s="14" t="str" cm="1">
        <f t="array" ref="F69">IF(A69="","",INDEX(Parameters!$G$5:$G$104,A69))</f>
        <v>CAT HOUSE</v>
      </c>
      <c r="G69" s="15" t="str">
        <f t="shared" si="7"/>
        <v>CAT HOUSE_STANDARD</v>
      </c>
      <c r="H69" s="15" t="str">
        <f t="shared" si="8"/>
        <v>CAT HOUSE / House / Visibility: Standard</v>
      </c>
      <c r="I69" s="14" t="str" cm="1">
        <f t="array" ref="I69">IF(A69="","",INDEX(Parameters!$B$5:$B$104,A69))</f>
        <v>CAT HOUSE</v>
      </c>
      <c r="J69"/>
    </row>
    <row r="70" spans="1:10" x14ac:dyDescent="0.25">
      <c r="A70" s="14">
        <f>IF(ROW()-3&lt;=Parameters!$N$7,INT((ROW()-4)/Parameters!$N$6)+1,"")</f>
        <v>14</v>
      </c>
      <c r="B70" s="14">
        <f>IF(A70="","",MOD(ROW()-4,Parameters!$N$6)+1)</f>
        <v>2</v>
      </c>
      <c r="C70" s="14" t="str">
        <f t="shared" si="6"/>
        <v>14-2</v>
      </c>
      <c r="D70" s="14" t="str" cm="1">
        <f t="array" ref="D70">IF(B70="","",INDEX(Parameters!$L$5:$L$104,B70))</f>
        <v>With Label</v>
      </c>
      <c r="E70" s="14" t="str" cm="1">
        <f t="array" ref="E70">IF(A70="","",INDEX(Parameters!$C$5:$C$104,A70))</f>
        <v>House</v>
      </c>
      <c r="F70" s="14" t="str" cm="1">
        <f t="array" ref="F70">IF(A70="","",INDEX(Parameters!$G$5:$G$104,A70))</f>
        <v>CAT HOUSE</v>
      </c>
      <c r="G70" s="15" t="str">
        <f t="shared" si="7"/>
        <v>CAT HOUSE_WITH_LABEL</v>
      </c>
      <c r="H70" s="15" t="str">
        <f t="shared" si="8"/>
        <v>CAT HOUSE / House / Visibility: With Label</v>
      </c>
      <c r="I70" s="14" t="str" cm="1">
        <f t="array" ref="I70">IF(A70="","",INDEX(Parameters!$B$5:$B$104,A70))</f>
        <v>CAT HOUSE</v>
      </c>
      <c r="J70"/>
    </row>
    <row r="71" spans="1:10" x14ac:dyDescent="0.25">
      <c r="A71" s="14">
        <f>IF(ROW()-3&lt;=Parameters!$N$7,INT((ROW()-4)/Parameters!$N$6)+1,"")</f>
        <v>14</v>
      </c>
      <c r="B71" s="14">
        <f>IF(A71="","",MOD(ROW()-4,Parameters!$N$6)+1)</f>
        <v>3</v>
      </c>
      <c r="C71" s="14" t="str">
        <f t="shared" si="6"/>
        <v>14-3</v>
      </c>
      <c r="D71" s="14" t="str" cm="1">
        <f t="array" ref="D71">IF(B71="","",INDEX(Parameters!$L$5:$L$104,B71))</f>
        <v>With Callout</v>
      </c>
      <c r="E71" s="14" t="str" cm="1">
        <f t="array" ref="E71">IF(A71="","",INDEX(Parameters!$C$5:$C$104,A71))</f>
        <v>House</v>
      </c>
      <c r="F71" s="14" t="str" cm="1">
        <f t="array" ref="F71">IF(A71="","",INDEX(Parameters!$G$5:$G$104,A71))</f>
        <v>CAT HOUSE</v>
      </c>
      <c r="G71" s="15" t="str">
        <f t="shared" si="7"/>
        <v>CAT HOUSE_WITH_CALLOUT</v>
      </c>
      <c r="H71" s="15" t="str">
        <f t="shared" si="8"/>
        <v>CAT HOUSE / House / Visibility: With Callout</v>
      </c>
      <c r="I71" s="14" t="str" cm="1">
        <f t="array" ref="I71">IF(A71="","",INDEX(Parameters!$B$5:$B$104,A71))</f>
        <v>CAT HOUSE</v>
      </c>
      <c r="J71"/>
    </row>
    <row r="72" spans="1:10" x14ac:dyDescent="0.25">
      <c r="A72" s="14">
        <f>IF(ROW()-3&lt;=Parameters!$N$7,INT((ROW()-4)/Parameters!$N$6)+1,"")</f>
        <v>14</v>
      </c>
      <c r="B72" s="14">
        <f>IF(A72="","",MOD(ROW()-4,Parameters!$N$6)+1)</f>
        <v>4</v>
      </c>
      <c r="C72" s="14" t="str">
        <f t="shared" si="6"/>
        <v>14-4</v>
      </c>
      <c r="D72" s="14" t="str" cm="1">
        <f t="array" ref="D72">IF(B72="","",INDEX(Parameters!$L$5:$L$104,B72))</f>
        <v>Existing</v>
      </c>
      <c r="E72" s="14" t="str" cm="1">
        <f t="array" ref="E72">IF(A72="","",INDEX(Parameters!$C$5:$C$104,A72))</f>
        <v>House</v>
      </c>
      <c r="F72" s="14" t="str" cm="1">
        <f t="array" ref="F72">IF(A72="","",INDEX(Parameters!$G$5:$G$104,A72))</f>
        <v>CAT HOUSE</v>
      </c>
      <c r="G72" s="15" t="str">
        <f t="shared" si="7"/>
        <v>CAT HOUSE_EXISTING</v>
      </c>
      <c r="H72" s="15" t="str">
        <f t="shared" si="8"/>
        <v>CAT HOUSE / House / Visibility: Existing</v>
      </c>
      <c r="I72" s="14" t="str" cm="1">
        <f t="array" ref="I72">IF(A72="","",INDEX(Parameters!$B$5:$B$104,A72))</f>
        <v>CAT HOUSE</v>
      </c>
      <c r="J72"/>
    </row>
    <row r="73" spans="1:10" x14ac:dyDescent="0.25">
      <c r="A73" s="14">
        <f>IF(ROW()-3&lt;=Parameters!$N$7,INT((ROW()-4)/Parameters!$N$6)+1,"")</f>
        <v>14</v>
      </c>
      <c r="B73" s="14">
        <f>IF(A73="","",MOD(ROW()-4,Parameters!$N$6)+1)</f>
        <v>5</v>
      </c>
      <c r="C73" s="14" t="str">
        <f t="shared" si="6"/>
        <v>14-5</v>
      </c>
      <c r="D73" s="14" t="str" cm="1">
        <f t="array" ref="D73">IF(B73="","",INDEX(Parameters!$L$5:$L$104,B73))</f>
        <v>Proposed</v>
      </c>
      <c r="E73" s="14" t="str" cm="1">
        <f t="array" ref="E73">IF(A73="","",INDEX(Parameters!$C$5:$C$104,A73))</f>
        <v>House</v>
      </c>
      <c r="F73" s="14" t="str" cm="1">
        <f t="array" ref="F73">IF(A73="","",INDEX(Parameters!$G$5:$G$104,A73))</f>
        <v>CAT HOUSE</v>
      </c>
      <c r="G73" s="15" t="str">
        <f t="shared" si="7"/>
        <v>CAT HOUSE_PROPOSED</v>
      </c>
      <c r="H73" s="15" t="str">
        <f t="shared" si="8"/>
        <v>CAT HOUSE / House / Visibility: Proposed</v>
      </c>
      <c r="I73" s="14" t="str" cm="1">
        <f t="array" ref="I73">IF(A73="","",INDEX(Parameters!$B$5:$B$104,A73))</f>
        <v>CAT HOUSE</v>
      </c>
      <c r="J73"/>
    </row>
    <row r="74" spans="1:10" x14ac:dyDescent="0.25">
      <c r="A74" s="14">
        <f>IF(ROW()-3&lt;=Parameters!$N$7,INT((ROW()-4)/Parameters!$N$6)+1,"")</f>
        <v>15</v>
      </c>
      <c r="B74" s="14">
        <f>IF(A74="","",MOD(ROW()-4,Parameters!$N$6)+1)</f>
        <v>1</v>
      </c>
      <c r="C74" s="14" t="str">
        <f t="shared" si="6"/>
        <v>15-1</v>
      </c>
      <c r="D74" s="14" t="str" cm="1">
        <f t="array" ref="D74">IF(B74="","",INDEX(Parameters!$L$5:$L$104,B74))</f>
        <v>Standard</v>
      </c>
      <c r="E74" s="14" t="str" cm="1">
        <f t="array" ref="E74">IF(A74="","",INDEX(Parameters!$C$5:$C$104,A74))</f>
        <v>House</v>
      </c>
      <c r="F74" s="14" t="str" cm="1">
        <f t="array" ref="F74">IF(A74="","",INDEX(Parameters!$G$5:$G$104,A74))</f>
        <v>DOG HOUSE</v>
      </c>
      <c r="G74" s="15" t="str">
        <f t="shared" si="7"/>
        <v>DOG HOUSE_STANDARD</v>
      </c>
      <c r="H74" s="15" t="str">
        <f t="shared" si="8"/>
        <v>DOG HOUSE / House / Visibility: Standard</v>
      </c>
      <c r="I74" s="14" t="str" cm="1">
        <f t="array" ref="I74">IF(A74="","",INDEX(Parameters!$B$5:$B$104,A74))</f>
        <v>DOG HOUSE</v>
      </c>
      <c r="J74"/>
    </row>
    <row r="75" spans="1:10" x14ac:dyDescent="0.25">
      <c r="A75" s="14">
        <f>IF(ROW()-3&lt;=Parameters!$N$7,INT((ROW()-4)/Parameters!$N$6)+1,"")</f>
        <v>15</v>
      </c>
      <c r="B75" s="14">
        <f>IF(A75="","",MOD(ROW()-4,Parameters!$N$6)+1)</f>
        <v>2</v>
      </c>
      <c r="C75" s="14" t="str">
        <f t="shared" si="6"/>
        <v>15-2</v>
      </c>
      <c r="D75" s="14" t="str" cm="1">
        <f t="array" ref="D75">IF(B75="","",INDEX(Parameters!$L$5:$L$104,B75))</f>
        <v>With Label</v>
      </c>
      <c r="E75" s="14" t="str" cm="1">
        <f t="array" ref="E75">IF(A75="","",INDEX(Parameters!$C$5:$C$104,A75))</f>
        <v>House</v>
      </c>
      <c r="F75" s="14" t="str" cm="1">
        <f t="array" ref="F75">IF(A75="","",INDEX(Parameters!$G$5:$G$104,A75))</f>
        <v>DOG HOUSE</v>
      </c>
      <c r="G75" s="15" t="str">
        <f t="shared" si="7"/>
        <v>DOG HOUSE_WITH_LABEL</v>
      </c>
      <c r="H75" s="15" t="str">
        <f t="shared" si="8"/>
        <v>DOG HOUSE / House / Visibility: With Label</v>
      </c>
      <c r="I75" s="14" t="str" cm="1">
        <f t="array" ref="I75">IF(A75="","",INDEX(Parameters!$B$5:$B$104,A75))</f>
        <v>DOG HOUSE</v>
      </c>
      <c r="J75"/>
    </row>
    <row r="76" spans="1:10" x14ac:dyDescent="0.25">
      <c r="A76" s="14">
        <f>IF(ROW()-3&lt;=Parameters!$N$7,INT((ROW()-4)/Parameters!$N$6)+1,"")</f>
        <v>15</v>
      </c>
      <c r="B76" s="14">
        <f>IF(A76="","",MOD(ROW()-4,Parameters!$N$6)+1)</f>
        <v>3</v>
      </c>
      <c r="C76" s="14" t="str">
        <f t="shared" si="6"/>
        <v>15-3</v>
      </c>
      <c r="D76" s="14" t="str" cm="1">
        <f t="array" ref="D76">IF(B76="","",INDEX(Parameters!$L$5:$L$104,B76))</f>
        <v>With Callout</v>
      </c>
      <c r="E76" s="14" t="str" cm="1">
        <f t="array" ref="E76">IF(A76="","",INDEX(Parameters!$C$5:$C$104,A76))</f>
        <v>House</v>
      </c>
      <c r="F76" s="14" t="str" cm="1">
        <f t="array" ref="F76">IF(A76="","",INDEX(Parameters!$G$5:$G$104,A76))</f>
        <v>DOG HOUSE</v>
      </c>
      <c r="G76" s="15" t="str">
        <f t="shared" si="7"/>
        <v>DOG HOUSE_WITH_CALLOUT</v>
      </c>
      <c r="H76" s="15" t="str">
        <f t="shared" si="8"/>
        <v>DOG HOUSE / House / Visibility: With Callout</v>
      </c>
      <c r="I76" s="14" t="str" cm="1">
        <f t="array" ref="I76">IF(A76="","",INDEX(Parameters!$B$5:$B$104,A76))</f>
        <v>DOG HOUSE</v>
      </c>
      <c r="J76"/>
    </row>
    <row r="77" spans="1:10" x14ac:dyDescent="0.25">
      <c r="A77" s="14">
        <f>IF(ROW()-3&lt;=Parameters!$N$7,INT((ROW()-4)/Parameters!$N$6)+1,"")</f>
        <v>15</v>
      </c>
      <c r="B77" s="14">
        <f>IF(A77="","",MOD(ROW()-4,Parameters!$N$6)+1)</f>
        <v>4</v>
      </c>
      <c r="C77" s="14" t="str">
        <f t="shared" si="6"/>
        <v>15-4</v>
      </c>
      <c r="D77" s="14" t="str" cm="1">
        <f t="array" ref="D77">IF(B77="","",INDEX(Parameters!$L$5:$L$104,B77))</f>
        <v>Existing</v>
      </c>
      <c r="E77" s="14" t="str" cm="1">
        <f t="array" ref="E77">IF(A77="","",INDEX(Parameters!$C$5:$C$104,A77))</f>
        <v>House</v>
      </c>
      <c r="F77" s="14" t="str" cm="1">
        <f t="array" ref="F77">IF(A77="","",INDEX(Parameters!$G$5:$G$104,A77))</f>
        <v>DOG HOUSE</v>
      </c>
      <c r="G77" s="15" t="str">
        <f t="shared" si="7"/>
        <v>DOG HOUSE_EXISTING</v>
      </c>
      <c r="H77" s="15" t="str">
        <f t="shared" si="8"/>
        <v>DOG HOUSE / House / Visibility: Existing</v>
      </c>
      <c r="I77" s="14" t="str" cm="1">
        <f t="array" ref="I77">IF(A77="","",INDEX(Parameters!$B$5:$B$104,A77))</f>
        <v>DOG HOUSE</v>
      </c>
      <c r="J77"/>
    </row>
    <row r="78" spans="1:10" x14ac:dyDescent="0.25">
      <c r="A78" s="14">
        <f>IF(ROW()-3&lt;=Parameters!$N$7,INT((ROW()-4)/Parameters!$N$6)+1,"")</f>
        <v>15</v>
      </c>
      <c r="B78" s="14">
        <f>IF(A78="","",MOD(ROW()-4,Parameters!$N$6)+1)</f>
        <v>5</v>
      </c>
      <c r="C78" s="14" t="str">
        <f t="shared" si="6"/>
        <v>15-5</v>
      </c>
      <c r="D78" s="14" t="str" cm="1">
        <f t="array" ref="D78">IF(B78="","",INDEX(Parameters!$L$5:$L$104,B78))</f>
        <v>Proposed</v>
      </c>
      <c r="E78" s="14" t="str" cm="1">
        <f t="array" ref="E78">IF(A78="","",INDEX(Parameters!$C$5:$C$104,A78))</f>
        <v>House</v>
      </c>
      <c r="F78" s="14" t="str" cm="1">
        <f t="array" ref="F78">IF(A78="","",INDEX(Parameters!$G$5:$G$104,A78))</f>
        <v>DOG HOUSE</v>
      </c>
      <c r="G78" s="15" t="str">
        <f t="shared" si="7"/>
        <v>DOG HOUSE_PROPOSED</v>
      </c>
      <c r="H78" s="15" t="str">
        <f t="shared" si="8"/>
        <v>DOG HOUSE / House / Visibility: Proposed</v>
      </c>
      <c r="I78" s="14" t="str" cm="1">
        <f t="array" ref="I78">IF(A78="","",INDEX(Parameters!$B$5:$B$104,A78))</f>
        <v>DOG HOUSE</v>
      </c>
      <c r="J78"/>
    </row>
    <row r="79" spans="1:10" x14ac:dyDescent="0.25">
      <c r="A79" s="17">
        <f>IF(ROW()-3&lt;=Parameters!$N$7,INT((ROW()-4)/Parameters!$N$6)+1,"")</f>
        <v>16</v>
      </c>
      <c r="B79" s="17">
        <f>IF(A79="","",MOD(ROW()-4,Parameters!$N$6)+1)</f>
        <v>1</v>
      </c>
      <c r="C79" s="17" t="str">
        <f t="shared" ref="C79:C110" si="9">IF(A79="","",A79&amp;"-"&amp;B79)</f>
        <v>16-1</v>
      </c>
      <c r="D79" s="14" t="str" cm="1">
        <f t="array" ref="D79">IF(B79="","",INDEX(Parameters!$L$5:$L$104,B79))</f>
        <v>Standard</v>
      </c>
      <c r="E79" s="18" t="str" cm="1">
        <f t="array" ref="E79">IF(A79="","",INDEX(Parameters!$C$5:$C$104,A79))</f>
        <v>Large Rectangle</v>
      </c>
      <c r="F79" s="18" t="str" cm="1">
        <f t="array" ref="F79">IF(A79="","",INDEX(Parameters!$G$5:$G$104,A79))</f>
        <v>LARGE RECTANGLE</v>
      </c>
      <c r="G79" s="18" t="str">
        <f t="shared" si="7"/>
        <v>LARGE RECTANGLE_STANDARD</v>
      </c>
      <c r="H79" s="18" t="str">
        <f t="shared" si="8"/>
        <v>36x48 / Large Rectangle / Visibility: Standard</v>
      </c>
      <c r="I79" s="18" t="str" cm="1">
        <f t="array" ref="I79">IF(A79="","",INDEX(Parameters!$B$5:$B$104,A79))</f>
        <v>36x48</v>
      </c>
      <c r="J79"/>
    </row>
    <row r="80" spans="1:10" x14ac:dyDescent="0.25">
      <c r="A80" s="17">
        <f>IF(ROW()-3&lt;=Parameters!$N$7,INT((ROW()-4)/Parameters!$N$6)+1,"")</f>
        <v>16</v>
      </c>
      <c r="B80" s="17">
        <f>IF(A80="","",MOD(ROW()-4,Parameters!$N$6)+1)</f>
        <v>2</v>
      </c>
      <c r="C80" s="17" t="str">
        <f t="shared" si="9"/>
        <v>16-2</v>
      </c>
      <c r="D80" s="14" t="str" cm="1">
        <f t="array" ref="D80">IF(B80="","",INDEX(Parameters!$L$5:$L$104,B80))</f>
        <v>With Label</v>
      </c>
      <c r="E80" s="18" t="str" cm="1">
        <f t="array" ref="E80">IF(A80="","",INDEX(Parameters!$C$5:$C$104,A80))</f>
        <v>Large Rectangle</v>
      </c>
      <c r="F80" s="18" t="str" cm="1">
        <f t="array" ref="F80">IF(A80="","",INDEX(Parameters!$G$5:$G$104,A80))</f>
        <v>LARGE RECTANGLE</v>
      </c>
      <c r="G80" s="18" t="str">
        <f t="shared" si="7"/>
        <v>LARGE RECTANGLE_WITH_LABEL</v>
      </c>
      <c r="H80" s="18" t="str">
        <f t="shared" si="8"/>
        <v>36x48 / Large Rectangle / Visibility: With Label</v>
      </c>
      <c r="I80" s="18" t="str" cm="1">
        <f t="array" ref="I80">IF(A80="","",INDEX(Parameters!$B$5:$B$104,A80))</f>
        <v>36x48</v>
      </c>
      <c r="J80"/>
    </row>
    <row r="81" spans="1:10" x14ac:dyDescent="0.25">
      <c r="A81" s="17">
        <f>IF(ROW()-3&lt;=Parameters!$N$7,INT((ROW()-4)/Parameters!$N$6)+1,"")</f>
        <v>16</v>
      </c>
      <c r="B81" s="17">
        <f>IF(A81="","",MOD(ROW()-4,Parameters!$N$6)+1)</f>
        <v>3</v>
      </c>
      <c r="C81" s="17" t="str">
        <f t="shared" si="9"/>
        <v>16-3</v>
      </c>
      <c r="D81" s="14" t="str" cm="1">
        <f t="array" ref="D81">IF(B81="","",INDEX(Parameters!$L$5:$L$104,B81))</f>
        <v>With Callout</v>
      </c>
      <c r="E81" s="18" t="str" cm="1">
        <f t="array" ref="E81">IF(A81="","",INDEX(Parameters!$C$5:$C$104,A81))</f>
        <v>Large Rectangle</v>
      </c>
      <c r="F81" s="18" t="str" cm="1">
        <f t="array" ref="F81">IF(A81="","",INDEX(Parameters!$G$5:$G$104,A81))</f>
        <v>LARGE RECTANGLE</v>
      </c>
      <c r="G81" s="18" t="str">
        <f t="shared" si="7"/>
        <v>LARGE RECTANGLE_WITH_CALLOUT</v>
      </c>
      <c r="H81" s="18" t="str">
        <f t="shared" si="8"/>
        <v>36x48 / Large Rectangle / Visibility: With Callout</v>
      </c>
      <c r="I81" s="18" t="str" cm="1">
        <f t="array" ref="I81">IF(A81="","",INDEX(Parameters!$B$5:$B$104,A81))</f>
        <v>36x48</v>
      </c>
      <c r="J81"/>
    </row>
    <row r="82" spans="1:10" x14ac:dyDescent="0.25">
      <c r="A82" s="17">
        <f>IF(ROW()-3&lt;=Parameters!$N$7,INT((ROW()-4)/Parameters!$N$6)+1,"")</f>
        <v>16</v>
      </c>
      <c r="B82" s="17">
        <f>IF(A82="","",MOD(ROW()-4,Parameters!$N$6)+1)</f>
        <v>4</v>
      </c>
      <c r="C82" s="17" t="str">
        <f t="shared" si="9"/>
        <v>16-4</v>
      </c>
      <c r="D82" s="14" t="str" cm="1">
        <f t="array" ref="D82">IF(B82="","",INDEX(Parameters!$L$5:$L$104,B82))</f>
        <v>Existing</v>
      </c>
      <c r="E82" s="18" t="str" cm="1">
        <f t="array" ref="E82">IF(A82="","",INDEX(Parameters!$C$5:$C$104,A82))</f>
        <v>Large Rectangle</v>
      </c>
      <c r="F82" s="18" t="str" cm="1">
        <f t="array" ref="F82">IF(A82="","",INDEX(Parameters!$G$5:$G$104,A82))</f>
        <v>LARGE RECTANGLE</v>
      </c>
      <c r="G82" s="18" t="str">
        <f t="shared" si="7"/>
        <v>LARGE RECTANGLE_EXISTING</v>
      </c>
      <c r="H82" s="18" t="str">
        <f t="shared" si="8"/>
        <v>36x48 / Large Rectangle / Visibility: Existing</v>
      </c>
      <c r="I82" s="18" t="str" cm="1">
        <f t="array" ref="I82">IF(A82="","",INDEX(Parameters!$B$5:$B$104,A82))</f>
        <v>36x48</v>
      </c>
      <c r="J82"/>
    </row>
    <row r="83" spans="1:10" x14ac:dyDescent="0.25">
      <c r="A83" s="17">
        <f>IF(ROW()-3&lt;=Parameters!$N$7,INT((ROW()-4)/Parameters!$N$6)+1,"")</f>
        <v>16</v>
      </c>
      <c r="B83" s="17">
        <f>IF(A83="","",MOD(ROW()-4,Parameters!$N$6)+1)</f>
        <v>5</v>
      </c>
      <c r="C83" s="17" t="str">
        <f t="shared" si="9"/>
        <v>16-5</v>
      </c>
      <c r="D83" s="14" t="str" cm="1">
        <f t="array" ref="D83">IF(B83="","",INDEX(Parameters!$L$5:$L$104,B83))</f>
        <v>Proposed</v>
      </c>
      <c r="E83" s="18" t="str" cm="1">
        <f t="array" ref="E83">IF(A83="","",INDEX(Parameters!$C$5:$C$104,A83))</f>
        <v>Large Rectangle</v>
      </c>
      <c r="F83" s="18" t="str" cm="1">
        <f t="array" ref="F83">IF(A83="","",INDEX(Parameters!$G$5:$G$104,A83))</f>
        <v>LARGE RECTANGLE</v>
      </c>
      <c r="G83" s="18" t="str">
        <f t="shared" si="7"/>
        <v>LARGE RECTANGLE_PROPOSED</v>
      </c>
      <c r="H83" s="18" t="str">
        <f t="shared" si="8"/>
        <v>36x48 / Large Rectangle / Visibility: Proposed</v>
      </c>
      <c r="I83" s="18" t="str" cm="1">
        <f t="array" ref="I83">IF(A83="","",INDEX(Parameters!$B$5:$B$104,A83))</f>
        <v>36x48</v>
      </c>
      <c r="J83"/>
    </row>
    <row r="84" spans="1:10" x14ac:dyDescent="0.25">
      <c r="A84" s="17" t="str">
        <f>IF(ROW()-3&lt;=Parameters!$N$7,INT((ROW()-4)/Parameters!$N$6)+1,"")</f>
        <v/>
      </c>
      <c r="B84" s="17" t="str">
        <f>IF(A84="","",MOD(ROW()-4,Parameters!$N$6)+1)</f>
        <v/>
      </c>
      <c r="C84" s="17" t="str">
        <f t="shared" si="9"/>
        <v/>
      </c>
      <c r="D84" s="14" t="str" cm="1">
        <f t="array" ref="D84">IF(B84="","",INDEX(Parameters!$L$5:$L$104,B84))</f>
        <v/>
      </c>
      <c r="E84" s="18" t="str" cm="1">
        <f t="array" ref="E84">IF(A84="","",INDEX(Parameters!$C$5:$C$104,A84))</f>
        <v/>
      </c>
      <c r="F84" s="18" t="str" cm="1">
        <f t="array" ref="F84">IF(A84="","",INDEX(Parameters!$G$5:$G$104,A84))</f>
        <v/>
      </c>
      <c r="G84" s="18" t="str">
        <f t="shared" si="7"/>
        <v/>
      </c>
      <c r="H84" s="18" t="str">
        <f t="shared" si="8"/>
        <v/>
      </c>
      <c r="I84" s="18" t="str" cm="1">
        <f t="array" ref="I84">IF(A84="","",INDEX(Parameters!$B$5:$B$104,A84))</f>
        <v/>
      </c>
      <c r="J84"/>
    </row>
    <row r="85" spans="1:10" x14ac:dyDescent="0.25">
      <c r="A85" s="17" t="str">
        <f>IF(ROW()-3&lt;=Parameters!$N$7,INT((ROW()-4)/Parameters!$N$6)+1,"")</f>
        <v/>
      </c>
      <c r="B85" s="17" t="str">
        <f>IF(A85="","",MOD(ROW()-4,Parameters!$N$6)+1)</f>
        <v/>
      </c>
      <c r="C85" s="17" t="str">
        <f t="shared" si="9"/>
        <v/>
      </c>
      <c r="D85" s="14" t="str" cm="1">
        <f t="array" ref="D85">IF(B85="","",INDEX(Parameters!$L$5:$L$104,B85))</f>
        <v/>
      </c>
      <c r="E85" s="18" t="str" cm="1">
        <f t="array" ref="E85">IF(A85="","",INDEX(Parameters!$C$5:$C$104,A85))</f>
        <v/>
      </c>
      <c r="F85" s="18" t="str" cm="1">
        <f t="array" ref="F85">IF(A85="","",INDEX(Parameters!$G$5:$G$104,A85))</f>
        <v/>
      </c>
      <c r="G85" s="18" t="str">
        <f t="shared" si="7"/>
        <v/>
      </c>
      <c r="H85" s="18" t="str">
        <f t="shared" si="8"/>
        <v/>
      </c>
      <c r="I85" s="18" t="str" cm="1">
        <f t="array" ref="I85">IF(A85="","",INDEX(Parameters!$B$5:$B$104,A85))</f>
        <v/>
      </c>
      <c r="J85"/>
    </row>
    <row r="86" spans="1:10" x14ac:dyDescent="0.25">
      <c r="A86" s="17" t="str">
        <f>IF(ROW()-3&lt;=Parameters!$N$7,INT((ROW()-4)/Parameters!$N$6)+1,"")</f>
        <v/>
      </c>
      <c r="B86" s="17" t="str">
        <f>IF(A86="","",MOD(ROW()-4,Parameters!$N$6)+1)</f>
        <v/>
      </c>
      <c r="C86" s="17" t="str">
        <f t="shared" si="9"/>
        <v/>
      </c>
      <c r="D86" s="14" t="str" cm="1">
        <f t="array" ref="D86">IF(B86="","",INDEX(Parameters!$L$5:$L$104,B86))</f>
        <v/>
      </c>
      <c r="E86" s="18" t="str" cm="1">
        <f t="array" ref="E86">IF(A86="","",INDEX(Parameters!$C$5:$C$104,A86))</f>
        <v/>
      </c>
      <c r="F86" s="18" t="str" cm="1">
        <f t="array" ref="F86">IF(A86="","",INDEX(Parameters!$G$5:$G$104,A86))</f>
        <v/>
      </c>
      <c r="G86" s="18" t="str">
        <f t="shared" si="7"/>
        <v/>
      </c>
      <c r="H86" s="18" t="str">
        <f t="shared" si="8"/>
        <v/>
      </c>
      <c r="I86" s="18" t="str" cm="1">
        <f t="array" ref="I86">IF(A86="","",INDEX(Parameters!$B$5:$B$104,A86))</f>
        <v/>
      </c>
      <c r="J86"/>
    </row>
    <row r="87" spans="1:10" x14ac:dyDescent="0.25">
      <c r="A87" s="17" t="str">
        <f>IF(ROW()-3&lt;=Parameters!$N$7,INT((ROW()-4)/Parameters!$N$6)+1,"")</f>
        <v/>
      </c>
      <c r="B87" s="17" t="str">
        <f>IF(A87="","",MOD(ROW()-4,Parameters!$N$6)+1)</f>
        <v/>
      </c>
      <c r="C87" s="17" t="str">
        <f t="shared" si="9"/>
        <v/>
      </c>
      <c r="D87" s="14" t="str" cm="1">
        <f t="array" ref="D87">IF(B87="","",INDEX(Parameters!$L$5:$L$104,B87))</f>
        <v/>
      </c>
      <c r="E87" s="18" t="str" cm="1">
        <f t="array" ref="E87">IF(A87="","",INDEX(Parameters!$C$5:$C$104,A87))</f>
        <v/>
      </c>
      <c r="F87" s="18" t="str" cm="1">
        <f t="array" ref="F87">IF(A87="","",INDEX(Parameters!$G$5:$G$104,A87))</f>
        <v/>
      </c>
      <c r="G87" s="18" t="str">
        <f t="shared" si="7"/>
        <v/>
      </c>
      <c r="H87" s="18" t="str">
        <f t="shared" si="8"/>
        <v/>
      </c>
      <c r="I87" s="18" t="str" cm="1">
        <f t="array" ref="I87">IF(A87="","",INDEX(Parameters!$B$5:$B$104,A87))</f>
        <v/>
      </c>
      <c r="J87"/>
    </row>
    <row r="88" spans="1:10" x14ac:dyDescent="0.25">
      <c r="A88" s="17" t="str">
        <f>IF(ROW()-3&lt;=Parameters!$N$7,INT((ROW()-4)/Parameters!$N$6)+1,"")</f>
        <v/>
      </c>
      <c r="B88" s="17" t="str">
        <f>IF(A88="","",MOD(ROW()-4,Parameters!$N$6)+1)</f>
        <v/>
      </c>
      <c r="C88" s="17" t="str">
        <f t="shared" si="9"/>
        <v/>
      </c>
      <c r="D88" s="14" t="str" cm="1">
        <f t="array" ref="D88">IF(B88="","",INDEX(Parameters!$L$5:$L$104,B88))</f>
        <v/>
      </c>
      <c r="E88" s="18" t="str" cm="1">
        <f t="array" ref="E88">IF(A88="","",INDEX(Parameters!$C$5:$C$104,A88))</f>
        <v/>
      </c>
      <c r="F88" s="18" t="str" cm="1">
        <f t="array" ref="F88">IF(A88="","",INDEX(Parameters!$G$5:$G$104,A88))</f>
        <v/>
      </c>
      <c r="G88" s="18" t="str">
        <f t="shared" si="7"/>
        <v/>
      </c>
      <c r="H88" s="18" t="str">
        <f t="shared" si="8"/>
        <v/>
      </c>
      <c r="I88" s="18" t="str" cm="1">
        <f t="array" ref="I88">IF(A88="","",INDEX(Parameters!$B$5:$B$104,A88))</f>
        <v/>
      </c>
      <c r="J88"/>
    </row>
    <row r="89" spans="1:10" x14ac:dyDescent="0.25">
      <c r="A89" s="17" t="str">
        <f>IF(ROW()-3&lt;=Parameters!$N$7,INT((ROW()-4)/Parameters!$N$6)+1,"")</f>
        <v/>
      </c>
      <c r="B89" s="17" t="str">
        <f>IF(A89="","",MOD(ROW()-4,Parameters!$N$6)+1)</f>
        <v/>
      </c>
      <c r="C89" s="17" t="str">
        <f t="shared" si="9"/>
        <v/>
      </c>
      <c r="D89" s="14" t="str" cm="1">
        <f t="array" ref="D89">IF(B89="","",INDEX(Parameters!$L$5:$L$104,B89))</f>
        <v/>
      </c>
      <c r="E89" s="18" t="str" cm="1">
        <f t="array" ref="E89">IF(A89="","",INDEX(Parameters!$C$5:$C$104,A89))</f>
        <v/>
      </c>
      <c r="F89" s="18" t="str" cm="1">
        <f t="array" ref="F89">IF(A89="","",INDEX(Parameters!$G$5:$G$104,A89))</f>
        <v/>
      </c>
      <c r="G89" s="18" t="str">
        <f t="shared" si="7"/>
        <v/>
      </c>
      <c r="H89" s="18" t="str">
        <f t="shared" si="8"/>
        <v/>
      </c>
      <c r="I89" s="18" t="str" cm="1">
        <f t="array" ref="I89">IF(A89="","",INDEX(Parameters!$B$5:$B$104,A89))</f>
        <v/>
      </c>
      <c r="J89"/>
    </row>
    <row r="90" spans="1:10" x14ac:dyDescent="0.25">
      <c r="A90" s="17" t="str">
        <f>IF(ROW()-3&lt;=Parameters!$N$7,INT((ROW()-4)/Parameters!$N$6)+1,"")</f>
        <v/>
      </c>
      <c r="B90" s="17" t="str">
        <f>IF(A90="","",MOD(ROW()-4,Parameters!$N$6)+1)</f>
        <v/>
      </c>
      <c r="C90" s="17" t="str">
        <f t="shared" si="9"/>
        <v/>
      </c>
      <c r="D90" s="14" t="str" cm="1">
        <f t="array" ref="D90">IF(B90="","",INDEX(Parameters!$L$5:$L$104,B90))</f>
        <v/>
      </c>
      <c r="E90" s="18" t="str" cm="1">
        <f t="array" ref="E90">IF(A90="","",INDEX(Parameters!$C$5:$C$104,A90))</f>
        <v/>
      </c>
      <c r="F90" s="18" t="str" cm="1">
        <f t="array" ref="F90">IF(A90="","",INDEX(Parameters!$G$5:$G$104,A90))</f>
        <v/>
      </c>
      <c r="G90" s="18" t="str">
        <f t="shared" si="7"/>
        <v/>
      </c>
      <c r="H90" s="18" t="str">
        <f t="shared" si="8"/>
        <v/>
      </c>
      <c r="I90" s="18" t="str" cm="1">
        <f t="array" ref="I90">IF(A90="","",INDEX(Parameters!$B$5:$B$104,A90))</f>
        <v/>
      </c>
      <c r="J90"/>
    </row>
    <row r="91" spans="1:10" x14ac:dyDescent="0.25">
      <c r="A91" s="17" t="str">
        <f>IF(ROW()-3&lt;=Parameters!$N$7,INT((ROW()-4)/Parameters!$N$6)+1,"")</f>
        <v/>
      </c>
      <c r="B91" s="17" t="str">
        <f>IF(A91="","",MOD(ROW()-4,Parameters!$N$6)+1)</f>
        <v/>
      </c>
      <c r="C91" s="17" t="str">
        <f t="shared" si="9"/>
        <v/>
      </c>
      <c r="D91" s="14" t="str" cm="1">
        <f t="array" ref="D91">IF(B91="","",INDEX(Parameters!$L$5:$L$104,B91))</f>
        <v/>
      </c>
      <c r="E91" s="18" t="str" cm="1">
        <f t="array" ref="E91">IF(A91="","",INDEX(Parameters!$C$5:$C$104,A91))</f>
        <v/>
      </c>
      <c r="F91" s="18" t="str" cm="1">
        <f t="array" ref="F91">IF(A91="","",INDEX(Parameters!$G$5:$G$104,A91))</f>
        <v/>
      </c>
      <c r="G91" s="18" t="str">
        <f t="shared" si="7"/>
        <v/>
      </c>
      <c r="H91" s="18" t="str">
        <f t="shared" si="8"/>
        <v/>
      </c>
      <c r="I91" s="18" t="str" cm="1">
        <f t="array" ref="I91">IF(A91="","",INDEX(Parameters!$B$5:$B$104,A91))</f>
        <v/>
      </c>
      <c r="J91"/>
    </row>
    <row r="92" spans="1:10" x14ac:dyDescent="0.25">
      <c r="A92" s="17" t="str">
        <f>IF(ROW()-3&lt;=Parameters!$N$7,INT((ROW()-4)/Parameters!$N$6)+1,"")</f>
        <v/>
      </c>
      <c r="B92" s="17" t="str">
        <f>IF(A92="","",MOD(ROW()-4,Parameters!$N$6)+1)</f>
        <v/>
      </c>
      <c r="C92" s="17" t="str">
        <f t="shared" si="9"/>
        <v/>
      </c>
      <c r="D92" s="14" t="str" cm="1">
        <f t="array" ref="D92">IF(B92="","",INDEX(Parameters!$L$5:$L$104,B92))</f>
        <v/>
      </c>
      <c r="E92" s="18" t="str" cm="1">
        <f t="array" ref="E92">IF(A92="","",INDEX(Parameters!$C$5:$C$104,A92))</f>
        <v/>
      </c>
      <c r="F92" s="18" t="str" cm="1">
        <f t="array" ref="F92">IF(A92="","",INDEX(Parameters!$G$5:$G$104,A92))</f>
        <v/>
      </c>
      <c r="G92" s="18" t="str">
        <f t="shared" si="7"/>
        <v/>
      </c>
      <c r="H92" s="18" t="str">
        <f t="shared" si="8"/>
        <v/>
      </c>
      <c r="I92" s="18" t="str" cm="1">
        <f t="array" ref="I92">IF(A92="","",INDEX(Parameters!$B$5:$B$104,A92))</f>
        <v/>
      </c>
      <c r="J92"/>
    </row>
    <row r="93" spans="1:10" x14ac:dyDescent="0.25">
      <c r="A93" s="17" t="str">
        <f>IF(ROW()-3&lt;=Parameters!$N$7,INT((ROW()-4)/Parameters!$N$6)+1,"")</f>
        <v/>
      </c>
      <c r="B93" s="17" t="str">
        <f>IF(A93="","",MOD(ROW()-4,Parameters!$N$6)+1)</f>
        <v/>
      </c>
      <c r="C93" s="17" t="str">
        <f t="shared" si="9"/>
        <v/>
      </c>
      <c r="D93" s="14" t="str" cm="1">
        <f t="array" ref="D93">IF(B93="","",INDEX(Parameters!$L$5:$L$104,B93))</f>
        <v/>
      </c>
      <c r="E93" s="18" t="str" cm="1">
        <f t="array" ref="E93">IF(A93="","",INDEX(Parameters!$C$5:$C$104,A93))</f>
        <v/>
      </c>
      <c r="F93" s="18" t="str" cm="1">
        <f t="array" ref="F93">IF(A93="","",INDEX(Parameters!$G$5:$G$104,A93))</f>
        <v/>
      </c>
      <c r="G93" s="18" t="str">
        <f t="shared" si="7"/>
        <v/>
      </c>
      <c r="H93" s="18" t="str">
        <f t="shared" si="8"/>
        <v/>
      </c>
      <c r="I93" s="18" t="str" cm="1">
        <f t="array" ref="I93">IF(A93="","",INDEX(Parameters!$B$5:$B$104,A93))</f>
        <v/>
      </c>
      <c r="J93"/>
    </row>
    <row r="94" spans="1:10" x14ac:dyDescent="0.25">
      <c r="A94" s="17" t="str">
        <f>IF(ROW()-3&lt;=Parameters!$N$7,INT((ROW()-4)/Parameters!$N$6)+1,"")</f>
        <v/>
      </c>
      <c r="B94" s="17" t="str">
        <f>IF(A94="","",MOD(ROW()-4,Parameters!$N$6)+1)</f>
        <v/>
      </c>
      <c r="C94" s="17" t="str">
        <f t="shared" si="9"/>
        <v/>
      </c>
      <c r="D94" s="14" t="str" cm="1">
        <f t="array" ref="D94">IF(B94="","",INDEX(Parameters!$L$5:$L$104,B94))</f>
        <v/>
      </c>
      <c r="E94" s="18" t="str" cm="1">
        <f t="array" ref="E94">IF(A94="","",INDEX(Parameters!$C$5:$C$104,A94))</f>
        <v/>
      </c>
      <c r="F94" s="18" t="str" cm="1">
        <f t="array" ref="F94">IF(A94="","",INDEX(Parameters!$G$5:$G$104,A94))</f>
        <v/>
      </c>
      <c r="G94" s="18" t="str">
        <f t="shared" si="7"/>
        <v/>
      </c>
      <c r="H94" s="18" t="str">
        <f t="shared" si="8"/>
        <v/>
      </c>
      <c r="I94" s="18" t="str" cm="1">
        <f t="array" ref="I94">IF(A94="","",INDEX(Parameters!$B$5:$B$104,A94))</f>
        <v/>
      </c>
      <c r="J94"/>
    </row>
    <row r="95" spans="1:10" x14ac:dyDescent="0.25">
      <c r="A95" s="17" t="str">
        <f>IF(ROW()-3&lt;=Parameters!$N$7,INT((ROW()-4)/Parameters!$N$6)+1,"")</f>
        <v/>
      </c>
      <c r="B95" s="17" t="str">
        <f>IF(A95="","",MOD(ROW()-4,Parameters!$N$6)+1)</f>
        <v/>
      </c>
      <c r="C95" s="17" t="str">
        <f t="shared" si="9"/>
        <v/>
      </c>
      <c r="D95" s="14" t="str" cm="1">
        <f t="array" ref="D95">IF(B95="","",INDEX(Parameters!$L$5:$L$104,B95))</f>
        <v/>
      </c>
      <c r="E95" s="18" t="str" cm="1">
        <f t="array" ref="E95">IF(A95="","",INDEX(Parameters!$C$5:$C$104,A95))</f>
        <v/>
      </c>
      <c r="F95" s="18" t="str" cm="1">
        <f t="array" ref="F95">IF(A95="","",INDEX(Parameters!$G$5:$G$104,A95))</f>
        <v/>
      </c>
      <c r="G95" s="18" t="str">
        <f t="shared" si="7"/>
        <v/>
      </c>
      <c r="H95" s="18" t="str">
        <f t="shared" si="8"/>
        <v/>
      </c>
      <c r="I95" s="18" t="str" cm="1">
        <f t="array" ref="I95">IF(A95="","",INDEX(Parameters!$B$5:$B$104,A95))</f>
        <v/>
      </c>
      <c r="J95"/>
    </row>
    <row r="96" spans="1:10" x14ac:dyDescent="0.25">
      <c r="A96" s="17" t="str">
        <f>IF(ROW()-3&lt;=Parameters!$N$7,INT((ROW()-4)/Parameters!$N$6)+1,"")</f>
        <v/>
      </c>
      <c r="B96" s="17" t="str">
        <f>IF(A96="","",MOD(ROW()-4,Parameters!$N$6)+1)</f>
        <v/>
      </c>
      <c r="C96" s="17" t="str">
        <f t="shared" si="9"/>
        <v/>
      </c>
      <c r="D96" s="14" t="str" cm="1">
        <f t="array" ref="D96">IF(B96="","",INDEX(Parameters!$L$5:$L$104,B96))</f>
        <v/>
      </c>
      <c r="E96" s="18" t="str" cm="1">
        <f t="array" ref="E96">IF(A96="","",INDEX(Parameters!$C$5:$C$104,A96))</f>
        <v/>
      </c>
      <c r="F96" s="18" t="str" cm="1">
        <f t="array" ref="F96">IF(A96="","",INDEX(Parameters!$G$5:$G$104,A96))</f>
        <v/>
      </c>
      <c r="G96" s="18" t="str">
        <f t="shared" si="7"/>
        <v/>
      </c>
      <c r="H96" s="18" t="str">
        <f t="shared" si="8"/>
        <v/>
      </c>
      <c r="I96" s="18" t="str" cm="1">
        <f t="array" ref="I96">IF(A96="","",INDEX(Parameters!$B$5:$B$104,A96))</f>
        <v/>
      </c>
      <c r="J96"/>
    </row>
    <row r="97" spans="1:10" x14ac:dyDescent="0.25">
      <c r="A97" s="17" t="str">
        <f>IF(ROW()-3&lt;=Parameters!$N$7,INT((ROW()-4)/Parameters!$N$6)+1,"")</f>
        <v/>
      </c>
      <c r="B97" s="17" t="str">
        <f>IF(A97="","",MOD(ROW()-4,Parameters!$N$6)+1)</f>
        <v/>
      </c>
      <c r="C97" s="17" t="str">
        <f t="shared" si="9"/>
        <v/>
      </c>
      <c r="D97" s="14" t="str" cm="1">
        <f t="array" ref="D97">IF(B97="","",INDEX(Parameters!$L$5:$L$104,B97))</f>
        <v/>
      </c>
      <c r="E97" s="18" t="str" cm="1">
        <f t="array" ref="E97">IF(A97="","",INDEX(Parameters!$C$5:$C$104,A97))</f>
        <v/>
      </c>
      <c r="F97" s="18" t="str" cm="1">
        <f t="array" ref="F97">IF(A97="","",INDEX(Parameters!$G$5:$G$104,A97))</f>
        <v/>
      </c>
      <c r="G97" s="18" t="str">
        <f t="shared" si="7"/>
        <v/>
      </c>
      <c r="H97" s="18" t="str">
        <f t="shared" si="8"/>
        <v/>
      </c>
      <c r="I97" s="18" t="str" cm="1">
        <f t="array" ref="I97">IF(A97="","",INDEX(Parameters!$B$5:$B$104,A97))</f>
        <v/>
      </c>
      <c r="J97"/>
    </row>
    <row r="98" spans="1:10" x14ac:dyDescent="0.25">
      <c r="A98" s="17" t="str">
        <f>IF(ROW()-3&lt;=Parameters!$N$7,INT((ROW()-4)/Parameters!$N$6)+1,"")</f>
        <v/>
      </c>
      <c r="B98" s="17" t="str">
        <f>IF(A98="","",MOD(ROW()-4,Parameters!$N$6)+1)</f>
        <v/>
      </c>
      <c r="C98" s="17" t="str">
        <f t="shared" si="9"/>
        <v/>
      </c>
      <c r="D98" s="14" t="str" cm="1">
        <f t="array" ref="D98">IF(B98="","",INDEX(Parameters!$L$5:$L$104,B98))</f>
        <v/>
      </c>
      <c r="E98" s="18" t="str" cm="1">
        <f t="array" ref="E98">IF(A98="","",INDEX(Parameters!$C$5:$C$104,A98))</f>
        <v/>
      </c>
      <c r="F98" s="18" t="str" cm="1">
        <f t="array" ref="F98">IF(A98="","",INDEX(Parameters!$G$5:$G$104,A98))</f>
        <v/>
      </c>
      <c r="G98" s="18" t="str">
        <f t="shared" si="7"/>
        <v/>
      </c>
      <c r="H98" s="18" t="str">
        <f t="shared" si="8"/>
        <v/>
      </c>
      <c r="I98" s="18" t="str" cm="1">
        <f t="array" ref="I98">IF(A98="","",INDEX(Parameters!$B$5:$B$104,A98))</f>
        <v/>
      </c>
      <c r="J98"/>
    </row>
    <row r="99" spans="1:10" x14ac:dyDescent="0.25">
      <c r="A99" s="17" t="str">
        <f>IF(ROW()-3&lt;=Parameters!$N$7,INT((ROW()-4)/Parameters!$N$6)+1,"")</f>
        <v/>
      </c>
      <c r="B99" s="17" t="str">
        <f>IF(A99="","",MOD(ROW()-4,Parameters!$N$6)+1)</f>
        <v/>
      </c>
      <c r="C99" s="17" t="str">
        <f t="shared" si="9"/>
        <v/>
      </c>
      <c r="D99" s="14" t="str" cm="1">
        <f t="array" ref="D99">IF(B99="","",INDEX(Parameters!$L$5:$L$104,B99))</f>
        <v/>
      </c>
      <c r="E99" s="18" t="str" cm="1">
        <f t="array" ref="E99">IF(A99="","",INDEX(Parameters!$C$5:$C$104,A99))</f>
        <v/>
      </c>
      <c r="F99" s="18" t="str" cm="1">
        <f t="array" ref="F99">IF(A99="","",INDEX(Parameters!$G$5:$G$104,A99))</f>
        <v/>
      </c>
      <c r="G99" s="18" t="str">
        <f t="shared" si="7"/>
        <v/>
      </c>
      <c r="H99" s="18" t="str">
        <f t="shared" si="8"/>
        <v/>
      </c>
      <c r="I99" s="18" t="str" cm="1">
        <f t="array" ref="I99">IF(A99="","",INDEX(Parameters!$B$5:$B$104,A99))</f>
        <v/>
      </c>
      <c r="J99"/>
    </row>
    <row r="100" spans="1:10" x14ac:dyDescent="0.25">
      <c r="A100" s="17" t="str">
        <f>IF(ROW()-3&lt;=Parameters!$N$7,INT((ROW()-4)/Parameters!$N$6)+1,"")</f>
        <v/>
      </c>
      <c r="B100" s="17" t="str">
        <f>IF(A100="","",MOD(ROW()-4,Parameters!$N$6)+1)</f>
        <v/>
      </c>
      <c r="C100" s="17" t="str">
        <f t="shared" si="9"/>
        <v/>
      </c>
      <c r="D100" s="14" t="str" cm="1">
        <f t="array" ref="D100">IF(B100="","",INDEX(Parameters!$L$5:$L$104,B100))</f>
        <v/>
      </c>
      <c r="E100" s="18" t="str" cm="1">
        <f t="array" ref="E100">IF(A100="","",INDEX(Parameters!$C$5:$C$104,A100))</f>
        <v/>
      </c>
      <c r="F100" s="18" t="str" cm="1">
        <f t="array" ref="F100">IF(A100="","",INDEX(Parameters!$G$5:$G$104,A100))</f>
        <v/>
      </c>
      <c r="G100" s="18" t="str">
        <f t="shared" ref="G100:G131" si="10">IF(F100="","",F100&amp;"_"&amp;UPPER(SUBSTITUTE(D100," ","_")))</f>
        <v/>
      </c>
      <c r="H100" s="18" t="str">
        <f t="shared" ref="H100:H131" si="11">IF(A100="","",I100&amp;" / "&amp;E100&amp;" / Visibility: "&amp;D100)</f>
        <v/>
      </c>
      <c r="I100" s="18" t="str" cm="1">
        <f t="array" ref="I100">IF(A100="","",INDEX(Parameters!$B$5:$B$104,A100))</f>
        <v/>
      </c>
      <c r="J100"/>
    </row>
    <row r="101" spans="1:10" x14ac:dyDescent="0.25">
      <c r="A101" s="17" t="str">
        <f>IF(ROW()-3&lt;=Parameters!$N$7,INT((ROW()-4)/Parameters!$N$6)+1,"")</f>
        <v/>
      </c>
      <c r="B101" s="17" t="str">
        <f>IF(A101="","",MOD(ROW()-4,Parameters!$N$6)+1)</f>
        <v/>
      </c>
      <c r="C101" s="17" t="str">
        <f t="shared" si="9"/>
        <v/>
      </c>
      <c r="D101" s="14" t="str" cm="1">
        <f t="array" ref="D101">IF(B101="","",INDEX(Parameters!$L$5:$L$104,B101))</f>
        <v/>
      </c>
      <c r="E101" s="18" t="str" cm="1">
        <f t="array" ref="E101">IF(A101="","",INDEX(Parameters!$C$5:$C$104,A101))</f>
        <v/>
      </c>
      <c r="F101" s="18" t="str" cm="1">
        <f t="array" ref="F101">IF(A101="","",INDEX(Parameters!$G$5:$G$104,A101))</f>
        <v/>
      </c>
      <c r="G101" s="18" t="str">
        <f t="shared" si="10"/>
        <v/>
      </c>
      <c r="H101" s="18" t="str">
        <f t="shared" si="11"/>
        <v/>
      </c>
      <c r="I101" s="18" t="str" cm="1">
        <f t="array" ref="I101">IF(A101="","",INDEX(Parameters!$B$5:$B$104,A101))</f>
        <v/>
      </c>
      <c r="J101"/>
    </row>
    <row r="102" spans="1:10" x14ac:dyDescent="0.25">
      <c r="A102" s="17" t="str">
        <f>IF(ROW()-3&lt;=Parameters!$N$7,INT((ROW()-4)/Parameters!$N$6)+1,"")</f>
        <v/>
      </c>
      <c r="B102" s="17" t="str">
        <f>IF(A102="","",MOD(ROW()-4,Parameters!$N$6)+1)</f>
        <v/>
      </c>
      <c r="C102" s="17" t="str">
        <f t="shared" si="9"/>
        <v/>
      </c>
      <c r="D102" s="14" t="str" cm="1">
        <f t="array" ref="D102">IF(B102="","",INDEX(Parameters!$L$5:$L$104,B102))</f>
        <v/>
      </c>
      <c r="E102" s="18" t="str" cm="1">
        <f t="array" ref="E102">IF(A102="","",INDEX(Parameters!$C$5:$C$104,A102))</f>
        <v/>
      </c>
      <c r="F102" s="18" t="str" cm="1">
        <f t="array" ref="F102">IF(A102="","",INDEX(Parameters!$G$5:$G$104,A102))</f>
        <v/>
      </c>
      <c r="G102" s="18" t="str">
        <f t="shared" si="10"/>
        <v/>
      </c>
      <c r="H102" s="18" t="str">
        <f t="shared" si="11"/>
        <v/>
      </c>
      <c r="I102" s="18" t="str" cm="1">
        <f t="array" ref="I102">IF(A102="","",INDEX(Parameters!$B$5:$B$104,A102))</f>
        <v/>
      </c>
      <c r="J102"/>
    </row>
    <row r="103" spans="1:10" x14ac:dyDescent="0.25">
      <c r="A103" s="17" t="str">
        <f>IF(ROW()-3&lt;=Parameters!$N$7,INT((ROW()-4)/Parameters!$N$6)+1,"")</f>
        <v/>
      </c>
      <c r="B103" s="17" t="str">
        <f>IF(A103="","",MOD(ROW()-4,Parameters!$N$6)+1)</f>
        <v/>
      </c>
      <c r="C103" s="17" t="str">
        <f t="shared" si="9"/>
        <v/>
      </c>
      <c r="D103" s="14" t="str" cm="1">
        <f t="array" ref="D103">IF(B103="","",INDEX(Parameters!$L$5:$L$104,B103))</f>
        <v/>
      </c>
      <c r="E103" s="18" t="str" cm="1">
        <f t="array" ref="E103">IF(A103="","",INDEX(Parameters!$C$5:$C$104,A103))</f>
        <v/>
      </c>
      <c r="F103" s="18" t="str" cm="1">
        <f t="array" ref="F103">IF(A103="","",INDEX(Parameters!$G$5:$G$104,A103))</f>
        <v/>
      </c>
      <c r="G103" s="18" t="str">
        <f t="shared" si="10"/>
        <v/>
      </c>
      <c r="H103" s="18" t="str">
        <f t="shared" si="11"/>
        <v/>
      </c>
      <c r="I103" s="18" t="str" cm="1">
        <f t="array" ref="I103">IF(A103="","",INDEX(Parameters!$B$5:$B$104,A103))</f>
        <v/>
      </c>
      <c r="J103"/>
    </row>
    <row r="104" spans="1:10" x14ac:dyDescent="0.25">
      <c r="A104" s="17" t="str">
        <f>IF(ROW()-3&lt;=Parameters!$N$7,INT((ROW()-4)/Parameters!$N$6)+1,"")</f>
        <v/>
      </c>
      <c r="B104" s="17" t="str">
        <f>IF(A104="","",MOD(ROW()-4,Parameters!$N$6)+1)</f>
        <v/>
      </c>
      <c r="C104" s="17" t="str">
        <f t="shared" si="9"/>
        <v/>
      </c>
      <c r="D104" s="14" t="str" cm="1">
        <f t="array" ref="D104">IF(B104="","",INDEX(Parameters!$L$5:$L$104,B104))</f>
        <v/>
      </c>
      <c r="E104" s="18" t="str" cm="1">
        <f t="array" ref="E104">IF(A104="","",INDEX(Parameters!$C$5:$C$104,A104))</f>
        <v/>
      </c>
      <c r="F104" s="18" t="str" cm="1">
        <f t="array" ref="F104">IF(A104="","",INDEX(Parameters!$G$5:$G$104,A104))</f>
        <v/>
      </c>
      <c r="G104" s="18" t="str">
        <f t="shared" si="10"/>
        <v/>
      </c>
      <c r="H104" s="18" t="str">
        <f t="shared" si="11"/>
        <v/>
      </c>
      <c r="I104" s="18" t="str" cm="1">
        <f t="array" ref="I104">IF(A104="","",INDEX(Parameters!$B$5:$B$104,A104))</f>
        <v/>
      </c>
      <c r="J104"/>
    </row>
    <row r="105" spans="1:10" x14ac:dyDescent="0.25">
      <c r="A105" s="17" t="str">
        <f>IF(ROW()-3&lt;=Parameters!$N$7,INT((ROW()-4)/Parameters!$N$6)+1,"")</f>
        <v/>
      </c>
      <c r="B105" s="17" t="str">
        <f>IF(A105="","",MOD(ROW()-4,Parameters!$N$6)+1)</f>
        <v/>
      </c>
      <c r="C105" s="17" t="str">
        <f t="shared" si="9"/>
        <v/>
      </c>
      <c r="D105" s="14" t="str" cm="1">
        <f t="array" ref="D105">IF(B105="","",INDEX(Parameters!$L$5:$L$104,B105))</f>
        <v/>
      </c>
      <c r="E105" s="18" t="str" cm="1">
        <f t="array" ref="E105">IF(A105="","",INDEX(Parameters!$C$5:$C$104,A105))</f>
        <v/>
      </c>
      <c r="F105" s="18" t="str" cm="1">
        <f t="array" ref="F105">IF(A105="","",INDEX(Parameters!$G$5:$G$104,A105))</f>
        <v/>
      </c>
      <c r="G105" s="18" t="str">
        <f t="shared" si="10"/>
        <v/>
      </c>
      <c r="H105" s="18" t="str">
        <f t="shared" si="11"/>
        <v/>
      </c>
      <c r="I105" s="18" t="str" cm="1">
        <f t="array" ref="I105">IF(A105="","",INDEX(Parameters!$B$5:$B$104,A105))</f>
        <v/>
      </c>
      <c r="J105"/>
    </row>
    <row r="106" spans="1:10" x14ac:dyDescent="0.25">
      <c r="A106" s="17" t="str">
        <f>IF(ROW()-3&lt;=Parameters!$N$7,INT((ROW()-4)/Parameters!$N$6)+1,"")</f>
        <v/>
      </c>
      <c r="B106" s="17" t="str">
        <f>IF(A106="","",MOD(ROW()-4,Parameters!$N$6)+1)</f>
        <v/>
      </c>
      <c r="C106" s="17" t="str">
        <f t="shared" si="9"/>
        <v/>
      </c>
      <c r="D106" s="14" t="str" cm="1">
        <f t="array" ref="D106">IF(B106="","",INDEX(Parameters!$L$5:$L$104,B106))</f>
        <v/>
      </c>
      <c r="E106" s="18" t="str" cm="1">
        <f t="array" ref="E106">IF(A106="","",INDEX(Parameters!$C$5:$C$104,A106))</f>
        <v/>
      </c>
      <c r="F106" s="18" t="str" cm="1">
        <f t="array" ref="F106">IF(A106="","",INDEX(Parameters!$G$5:$G$104,A106))</f>
        <v/>
      </c>
      <c r="G106" s="18" t="str">
        <f t="shared" si="10"/>
        <v/>
      </c>
      <c r="H106" s="18" t="str">
        <f t="shared" si="11"/>
        <v/>
      </c>
      <c r="I106" s="18" t="str" cm="1">
        <f t="array" ref="I106">IF(A106="","",INDEX(Parameters!$B$5:$B$104,A106))</f>
        <v/>
      </c>
      <c r="J106"/>
    </row>
    <row r="107" spans="1:10" x14ac:dyDescent="0.25">
      <c r="A107" s="17" t="str">
        <f>IF(ROW()-3&lt;=Parameters!$N$7,INT((ROW()-4)/Parameters!$N$6)+1,"")</f>
        <v/>
      </c>
      <c r="B107" s="17" t="str">
        <f>IF(A107="","",MOD(ROW()-4,Parameters!$N$6)+1)</f>
        <v/>
      </c>
      <c r="C107" s="17" t="str">
        <f t="shared" si="9"/>
        <v/>
      </c>
      <c r="D107" s="14" t="str" cm="1">
        <f t="array" ref="D107">IF(B107="","",INDEX(Parameters!$L$5:$L$104,B107))</f>
        <v/>
      </c>
      <c r="E107" s="18" t="str" cm="1">
        <f t="array" ref="E107">IF(A107="","",INDEX(Parameters!$C$5:$C$104,A107))</f>
        <v/>
      </c>
      <c r="F107" s="18" t="str" cm="1">
        <f t="array" ref="F107">IF(A107="","",INDEX(Parameters!$G$5:$G$104,A107))</f>
        <v/>
      </c>
      <c r="G107" s="18" t="str">
        <f t="shared" si="10"/>
        <v/>
      </c>
      <c r="H107" s="18" t="str">
        <f t="shared" si="11"/>
        <v/>
      </c>
      <c r="I107" s="18" t="str" cm="1">
        <f t="array" ref="I107">IF(A107="","",INDEX(Parameters!$B$5:$B$104,A107))</f>
        <v/>
      </c>
      <c r="J107"/>
    </row>
    <row r="108" spans="1:10" x14ac:dyDescent="0.25">
      <c r="A108" s="17" t="str">
        <f>IF(ROW()-3&lt;=Parameters!$N$7,INT((ROW()-4)/Parameters!$N$6)+1,"")</f>
        <v/>
      </c>
      <c r="B108" s="17" t="str">
        <f>IF(A108="","",MOD(ROW()-4,Parameters!$N$6)+1)</f>
        <v/>
      </c>
      <c r="C108" s="17" t="str">
        <f t="shared" si="9"/>
        <v/>
      </c>
      <c r="D108" s="14" t="str" cm="1">
        <f t="array" ref="D108">IF(B108="","",INDEX(Parameters!$L$5:$L$104,B108))</f>
        <v/>
      </c>
      <c r="E108" s="18" t="str" cm="1">
        <f t="array" ref="E108">IF(A108="","",INDEX(Parameters!$C$5:$C$104,A108))</f>
        <v/>
      </c>
      <c r="F108" s="18" t="str" cm="1">
        <f t="array" ref="F108">IF(A108="","",INDEX(Parameters!$G$5:$G$104,A108))</f>
        <v/>
      </c>
      <c r="G108" s="18" t="str">
        <f t="shared" si="10"/>
        <v/>
      </c>
      <c r="H108" s="18" t="str">
        <f t="shared" si="11"/>
        <v/>
      </c>
      <c r="I108" s="18" t="str" cm="1">
        <f t="array" ref="I108">IF(A108="","",INDEX(Parameters!$B$5:$B$104,A108))</f>
        <v/>
      </c>
      <c r="J108"/>
    </row>
    <row r="109" spans="1:10" x14ac:dyDescent="0.25">
      <c r="A109" s="17" t="str">
        <f>IF(ROW()-3&lt;=Parameters!$N$7,INT((ROW()-4)/Parameters!$N$6)+1,"")</f>
        <v/>
      </c>
      <c r="B109" s="17" t="str">
        <f>IF(A109="","",MOD(ROW()-4,Parameters!$N$6)+1)</f>
        <v/>
      </c>
      <c r="C109" s="17" t="str">
        <f t="shared" si="9"/>
        <v/>
      </c>
      <c r="D109" s="14" t="str" cm="1">
        <f t="array" ref="D109">IF(B109="","",INDEX(Parameters!$L$5:$L$104,B109))</f>
        <v/>
      </c>
      <c r="E109" s="18" t="str" cm="1">
        <f t="array" ref="E109">IF(A109="","",INDEX(Parameters!$C$5:$C$104,A109))</f>
        <v/>
      </c>
      <c r="F109" s="18" t="str" cm="1">
        <f t="array" ref="F109">IF(A109="","",INDEX(Parameters!$G$5:$G$104,A109))</f>
        <v/>
      </c>
      <c r="G109" s="18" t="str">
        <f t="shared" si="10"/>
        <v/>
      </c>
      <c r="H109" s="18" t="str">
        <f t="shared" si="11"/>
        <v/>
      </c>
      <c r="I109" s="18" t="str" cm="1">
        <f t="array" ref="I109">IF(A109="","",INDEX(Parameters!$B$5:$B$104,A109))</f>
        <v/>
      </c>
      <c r="J109"/>
    </row>
    <row r="110" spans="1:10" x14ac:dyDescent="0.25">
      <c r="A110" s="17" t="str">
        <f>IF(ROW()-3&lt;=Parameters!$N$7,INT((ROW()-4)/Parameters!$N$6)+1,"")</f>
        <v/>
      </c>
      <c r="B110" s="17" t="str">
        <f>IF(A110="","",MOD(ROW()-4,Parameters!$N$6)+1)</f>
        <v/>
      </c>
      <c r="C110" s="17" t="str">
        <f t="shared" si="9"/>
        <v/>
      </c>
      <c r="D110" s="14" t="str" cm="1">
        <f t="array" ref="D110">IF(B110="","",INDEX(Parameters!$L$5:$L$104,B110))</f>
        <v/>
      </c>
      <c r="E110" s="18" t="str" cm="1">
        <f t="array" ref="E110">IF(A110="","",INDEX(Parameters!$C$5:$C$104,A110))</f>
        <v/>
      </c>
      <c r="F110" s="18" t="str" cm="1">
        <f t="array" ref="F110">IF(A110="","",INDEX(Parameters!$G$5:$G$104,A110))</f>
        <v/>
      </c>
      <c r="G110" s="18" t="str">
        <f t="shared" si="10"/>
        <v/>
      </c>
      <c r="H110" s="18" t="str">
        <f t="shared" si="11"/>
        <v/>
      </c>
      <c r="I110" s="18" t="str" cm="1">
        <f t="array" ref="I110">IF(A110="","",INDEX(Parameters!$B$5:$B$104,A110))</f>
        <v/>
      </c>
      <c r="J110"/>
    </row>
    <row r="111" spans="1:10" x14ac:dyDescent="0.25">
      <c r="A111" s="17" t="str">
        <f>IF(ROW()-3&lt;=Parameters!$N$7,INT((ROW()-4)/Parameters!$N$6)+1,"")</f>
        <v/>
      </c>
      <c r="B111" s="17" t="str">
        <f>IF(A111="","",MOD(ROW()-4,Parameters!$N$6)+1)</f>
        <v/>
      </c>
      <c r="C111" s="17" t="str">
        <f t="shared" ref="C111:C142" si="12">IF(A111="","",A111&amp;"-"&amp;B111)</f>
        <v/>
      </c>
      <c r="D111" s="14" t="str" cm="1">
        <f t="array" ref="D111">IF(B111="","",INDEX(Parameters!$L$5:$L$104,B111))</f>
        <v/>
      </c>
      <c r="E111" s="18" t="str" cm="1">
        <f t="array" ref="E111">IF(A111="","",INDEX(Parameters!$C$5:$C$104,A111))</f>
        <v/>
      </c>
      <c r="F111" s="18" t="str" cm="1">
        <f t="array" ref="F111">IF(A111="","",INDEX(Parameters!$G$5:$G$104,A111))</f>
        <v/>
      </c>
      <c r="G111" s="18" t="str">
        <f t="shared" si="10"/>
        <v/>
      </c>
      <c r="H111" s="18" t="str">
        <f t="shared" si="11"/>
        <v/>
      </c>
      <c r="I111" s="18" t="str" cm="1">
        <f t="array" ref="I111">IF(A111="","",INDEX(Parameters!$B$5:$B$104,A111))</f>
        <v/>
      </c>
      <c r="J111"/>
    </row>
    <row r="112" spans="1:10" x14ac:dyDescent="0.25">
      <c r="A112" s="17" t="str">
        <f>IF(ROW()-3&lt;=Parameters!$N$7,INT((ROW()-4)/Parameters!$N$6)+1,"")</f>
        <v/>
      </c>
      <c r="B112" s="17" t="str">
        <f>IF(A112="","",MOD(ROW()-4,Parameters!$N$6)+1)</f>
        <v/>
      </c>
      <c r="C112" s="17" t="str">
        <f t="shared" si="12"/>
        <v/>
      </c>
      <c r="D112" s="14" t="str" cm="1">
        <f t="array" ref="D112">IF(B112="","",INDEX(Parameters!$L$5:$L$104,B112))</f>
        <v/>
      </c>
      <c r="E112" s="18" t="str" cm="1">
        <f t="array" ref="E112">IF(A112="","",INDEX(Parameters!$C$5:$C$104,A112))</f>
        <v/>
      </c>
      <c r="F112" s="18" t="str" cm="1">
        <f t="array" ref="F112">IF(A112="","",INDEX(Parameters!$G$5:$G$104,A112))</f>
        <v/>
      </c>
      <c r="G112" s="18" t="str">
        <f t="shared" si="10"/>
        <v/>
      </c>
      <c r="H112" s="18" t="str">
        <f t="shared" si="11"/>
        <v/>
      </c>
      <c r="I112" s="18" t="str" cm="1">
        <f t="array" ref="I112">IF(A112="","",INDEX(Parameters!$B$5:$B$104,A112))</f>
        <v/>
      </c>
      <c r="J112"/>
    </row>
    <row r="113" spans="1:10" x14ac:dyDescent="0.25">
      <c r="A113" s="17" t="str">
        <f>IF(ROW()-3&lt;=Parameters!$N$7,INT((ROW()-4)/Parameters!$N$6)+1,"")</f>
        <v/>
      </c>
      <c r="B113" s="17" t="str">
        <f>IF(A113="","",MOD(ROW()-4,Parameters!$N$6)+1)</f>
        <v/>
      </c>
      <c r="C113" s="17" t="str">
        <f t="shared" si="12"/>
        <v/>
      </c>
      <c r="D113" s="14" t="str" cm="1">
        <f t="array" ref="D113">IF(B113="","",INDEX(Parameters!$L$5:$L$104,B113))</f>
        <v/>
      </c>
      <c r="E113" s="18" t="str" cm="1">
        <f t="array" ref="E113">IF(A113="","",INDEX(Parameters!$C$5:$C$104,A113))</f>
        <v/>
      </c>
      <c r="F113" s="18" t="str" cm="1">
        <f t="array" ref="F113">IF(A113="","",INDEX(Parameters!$G$5:$G$104,A113))</f>
        <v/>
      </c>
      <c r="G113" s="18" t="str">
        <f t="shared" si="10"/>
        <v/>
      </c>
      <c r="H113" s="18" t="str">
        <f t="shared" si="11"/>
        <v/>
      </c>
      <c r="I113" s="18" t="str" cm="1">
        <f t="array" ref="I113">IF(A113="","",INDEX(Parameters!$B$5:$B$104,A113))</f>
        <v/>
      </c>
      <c r="J113"/>
    </row>
    <row r="114" spans="1:10" x14ac:dyDescent="0.25">
      <c r="A114" s="17" t="str">
        <f>IF(ROW()-3&lt;=Parameters!$N$7,INT((ROW()-4)/Parameters!$N$6)+1,"")</f>
        <v/>
      </c>
      <c r="B114" s="17" t="str">
        <f>IF(A114="","",MOD(ROW()-4,Parameters!$N$6)+1)</f>
        <v/>
      </c>
      <c r="C114" s="17" t="str">
        <f t="shared" si="12"/>
        <v/>
      </c>
      <c r="D114" s="14" t="str" cm="1">
        <f t="array" ref="D114">IF(B114="","",INDEX(Parameters!$L$5:$L$104,B114))</f>
        <v/>
      </c>
      <c r="E114" s="18" t="str" cm="1">
        <f t="array" ref="E114">IF(A114="","",INDEX(Parameters!$C$5:$C$104,A114))</f>
        <v/>
      </c>
      <c r="F114" s="18" t="str" cm="1">
        <f t="array" ref="F114">IF(A114="","",INDEX(Parameters!$G$5:$G$104,A114))</f>
        <v/>
      </c>
      <c r="G114" s="18" t="str">
        <f t="shared" si="10"/>
        <v/>
      </c>
      <c r="H114" s="18" t="str">
        <f t="shared" si="11"/>
        <v/>
      </c>
      <c r="I114" s="18" t="str" cm="1">
        <f t="array" ref="I114">IF(A114="","",INDEX(Parameters!$B$5:$B$104,A114))</f>
        <v/>
      </c>
      <c r="J114"/>
    </row>
    <row r="115" spans="1:10" x14ac:dyDescent="0.25">
      <c r="A115" s="17" t="str">
        <f>IF(ROW()-3&lt;=Parameters!$N$7,INT((ROW()-4)/Parameters!$N$6)+1,"")</f>
        <v/>
      </c>
      <c r="B115" s="17" t="str">
        <f>IF(A115="","",MOD(ROW()-4,Parameters!$N$6)+1)</f>
        <v/>
      </c>
      <c r="C115" s="17" t="str">
        <f t="shared" si="12"/>
        <v/>
      </c>
      <c r="D115" s="14" t="str" cm="1">
        <f t="array" ref="D115">IF(B115="","",INDEX(Parameters!$L$5:$L$104,B115))</f>
        <v/>
      </c>
      <c r="E115" s="18" t="str" cm="1">
        <f t="array" ref="E115">IF(A115="","",INDEX(Parameters!$C$5:$C$104,A115))</f>
        <v/>
      </c>
      <c r="F115" s="18" t="str" cm="1">
        <f t="array" ref="F115">IF(A115="","",INDEX(Parameters!$G$5:$G$104,A115))</f>
        <v/>
      </c>
      <c r="G115" s="18" t="str">
        <f t="shared" si="10"/>
        <v/>
      </c>
      <c r="H115" s="18" t="str">
        <f t="shared" si="11"/>
        <v/>
      </c>
      <c r="I115" s="18" t="str" cm="1">
        <f t="array" ref="I115">IF(A115="","",INDEX(Parameters!$B$5:$B$104,A115))</f>
        <v/>
      </c>
      <c r="J115"/>
    </row>
    <row r="116" spans="1:10" x14ac:dyDescent="0.25">
      <c r="A116" s="17" t="str">
        <f>IF(ROW()-3&lt;=Parameters!$N$7,INT((ROW()-4)/Parameters!$N$6)+1,"")</f>
        <v/>
      </c>
      <c r="B116" s="17" t="str">
        <f>IF(A116="","",MOD(ROW()-4,Parameters!$N$6)+1)</f>
        <v/>
      </c>
      <c r="C116" s="17" t="str">
        <f t="shared" si="12"/>
        <v/>
      </c>
      <c r="D116" s="14" t="str" cm="1">
        <f t="array" ref="D116">IF(B116="","",INDEX(Parameters!$L$5:$L$104,B116))</f>
        <v/>
      </c>
      <c r="E116" s="18" t="str" cm="1">
        <f t="array" ref="E116">IF(A116="","",INDEX(Parameters!$C$5:$C$104,A116))</f>
        <v/>
      </c>
      <c r="F116" s="18" t="str" cm="1">
        <f t="array" ref="F116">IF(A116="","",INDEX(Parameters!$G$5:$G$104,A116))</f>
        <v/>
      </c>
      <c r="G116" s="18" t="str">
        <f t="shared" si="10"/>
        <v/>
      </c>
      <c r="H116" s="18" t="str">
        <f t="shared" si="11"/>
        <v/>
      </c>
      <c r="I116" s="18" t="str" cm="1">
        <f t="array" ref="I116">IF(A116="","",INDEX(Parameters!$B$5:$B$104,A116))</f>
        <v/>
      </c>
      <c r="J116"/>
    </row>
    <row r="117" spans="1:10" x14ac:dyDescent="0.25">
      <c r="A117" s="17" t="str">
        <f>IF(ROW()-3&lt;=Parameters!$N$7,INT((ROW()-4)/Parameters!$N$6)+1,"")</f>
        <v/>
      </c>
      <c r="B117" s="17" t="str">
        <f>IF(A117="","",MOD(ROW()-4,Parameters!$N$6)+1)</f>
        <v/>
      </c>
      <c r="C117" s="17" t="str">
        <f t="shared" si="12"/>
        <v/>
      </c>
      <c r="D117" s="14" t="str" cm="1">
        <f t="array" ref="D117">IF(B117="","",INDEX(Parameters!$L$5:$L$104,B117))</f>
        <v/>
      </c>
      <c r="E117" s="18" t="str" cm="1">
        <f t="array" ref="E117">IF(A117="","",INDEX(Parameters!$C$5:$C$104,A117))</f>
        <v/>
      </c>
      <c r="F117" s="18" t="str" cm="1">
        <f t="array" ref="F117">IF(A117="","",INDEX(Parameters!$G$5:$G$104,A117))</f>
        <v/>
      </c>
      <c r="G117" s="18" t="str">
        <f t="shared" si="10"/>
        <v/>
      </c>
      <c r="H117" s="18" t="str">
        <f t="shared" si="11"/>
        <v/>
      </c>
      <c r="I117" s="18" t="str" cm="1">
        <f t="array" ref="I117">IF(A117="","",INDEX(Parameters!$B$5:$B$104,A117))</f>
        <v/>
      </c>
      <c r="J117"/>
    </row>
    <row r="118" spans="1:10" x14ac:dyDescent="0.25">
      <c r="A118" s="17" t="str">
        <f>IF(ROW()-3&lt;=Parameters!$N$7,INT((ROW()-4)/Parameters!$N$6)+1,"")</f>
        <v/>
      </c>
      <c r="B118" s="17" t="str">
        <f>IF(A118="","",MOD(ROW()-4,Parameters!$N$6)+1)</f>
        <v/>
      </c>
      <c r="C118" s="17" t="str">
        <f t="shared" si="12"/>
        <v/>
      </c>
      <c r="D118" s="14" t="str" cm="1">
        <f t="array" ref="D118">IF(B118="","",INDEX(Parameters!$L$5:$L$104,B118))</f>
        <v/>
      </c>
      <c r="E118" s="18" t="str" cm="1">
        <f t="array" ref="E118">IF(A118="","",INDEX(Parameters!$C$5:$C$104,A118))</f>
        <v/>
      </c>
      <c r="F118" s="18" t="str" cm="1">
        <f t="array" ref="F118">IF(A118="","",INDEX(Parameters!$G$5:$G$104,A118))</f>
        <v/>
      </c>
      <c r="G118" s="18" t="str">
        <f t="shared" si="10"/>
        <v/>
      </c>
      <c r="H118" s="18" t="str">
        <f t="shared" si="11"/>
        <v/>
      </c>
      <c r="I118" s="18" t="str" cm="1">
        <f t="array" ref="I118">IF(A118="","",INDEX(Parameters!$B$5:$B$104,A118))</f>
        <v/>
      </c>
      <c r="J118"/>
    </row>
    <row r="119" spans="1:10" x14ac:dyDescent="0.25">
      <c r="A119" s="17" t="str">
        <f>IF(ROW()-3&lt;=Parameters!$N$7,INT((ROW()-4)/Parameters!$N$6)+1,"")</f>
        <v/>
      </c>
      <c r="B119" s="17" t="str">
        <f>IF(A119="","",MOD(ROW()-4,Parameters!$N$6)+1)</f>
        <v/>
      </c>
      <c r="C119" s="17" t="str">
        <f t="shared" si="12"/>
        <v/>
      </c>
      <c r="D119" s="14" t="str" cm="1">
        <f t="array" ref="D119">IF(B119="","",INDEX(Parameters!$L$5:$L$104,B119))</f>
        <v/>
      </c>
      <c r="E119" s="18" t="str" cm="1">
        <f t="array" ref="E119">IF(A119="","",INDEX(Parameters!$C$5:$C$104,A119))</f>
        <v/>
      </c>
      <c r="F119" s="18" t="str" cm="1">
        <f t="array" ref="F119">IF(A119="","",INDEX(Parameters!$G$5:$G$104,A119))</f>
        <v/>
      </c>
      <c r="G119" s="18" t="str">
        <f t="shared" si="10"/>
        <v/>
      </c>
      <c r="H119" s="18" t="str">
        <f t="shared" si="11"/>
        <v/>
      </c>
      <c r="I119" s="18" t="str" cm="1">
        <f t="array" ref="I119">IF(A119="","",INDEX(Parameters!$B$5:$B$104,A119))</f>
        <v/>
      </c>
      <c r="J119"/>
    </row>
    <row r="120" spans="1:10" x14ac:dyDescent="0.25">
      <c r="A120" s="17" t="str">
        <f>IF(ROW()-3&lt;=Parameters!$N$7,INT((ROW()-4)/Parameters!$N$6)+1,"")</f>
        <v/>
      </c>
      <c r="B120" s="17" t="str">
        <f>IF(A120="","",MOD(ROW()-4,Parameters!$N$6)+1)</f>
        <v/>
      </c>
      <c r="C120" s="17" t="str">
        <f t="shared" si="12"/>
        <v/>
      </c>
      <c r="D120" s="14" t="str" cm="1">
        <f t="array" ref="D120">IF(B120="","",INDEX(Parameters!$L$5:$L$104,B120))</f>
        <v/>
      </c>
      <c r="E120" s="18" t="str" cm="1">
        <f t="array" ref="E120">IF(A120="","",INDEX(Parameters!$C$5:$C$104,A120))</f>
        <v/>
      </c>
      <c r="F120" s="18" t="str" cm="1">
        <f t="array" ref="F120">IF(A120="","",INDEX(Parameters!$G$5:$G$104,A120))</f>
        <v/>
      </c>
      <c r="G120" s="18" t="str">
        <f t="shared" si="10"/>
        <v/>
      </c>
      <c r="H120" s="18" t="str">
        <f t="shared" si="11"/>
        <v/>
      </c>
      <c r="I120" s="18" t="str" cm="1">
        <f t="array" ref="I120">IF(A120="","",INDEX(Parameters!$B$5:$B$104,A120))</f>
        <v/>
      </c>
      <c r="J120"/>
    </row>
    <row r="121" spans="1:10" x14ac:dyDescent="0.25">
      <c r="A121" s="17" t="str">
        <f>IF(ROW()-3&lt;=Parameters!$N$7,INT((ROW()-4)/Parameters!$N$6)+1,"")</f>
        <v/>
      </c>
      <c r="B121" s="17" t="str">
        <f>IF(A121="","",MOD(ROW()-4,Parameters!$N$6)+1)</f>
        <v/>
      </c>
      <c r="C121" s="17" t="str">
        <f t="shared" si="12"/>
        <v/>
      </c>
      <c r="D121" s="14" t="str" cm="1">
        <f t="array" ref="D121">IF(B121="","",INDEX(Parameters!$L$5:$L$104,B121))</f>
        <v/>
      </c>
      <c r="E121" s="18" t="str" cm="1">
        <f t="array" ref="E121">IF(A121="","",INDEX(Parameters!$C$5:$C$104,A121))</f>
        <v/>
      </c>
      <c r="F121" s="18" t="str" cm="1">
        <f t="array" ref="F121">IF(A121="","",INDEX(Parameters!$G$5:$G$104,A121))</f>
        <v/>
      </c>
      <c r="G121" s="18" t="str">
        <f t="shared" si="10"/>
        <v/>
      </c>
      <c r="H121" s="18" t="str">
        <f t="shared" si="11"/>
        <v/>
      </c>
      <c r="I121" s="18" t="str" cm="1">
        <f t="array" ref="I121">IF(A121="","",INDEX(Parameters!$B$5:$B$104,A121))</f>
        <v/>
      </c>
      <c r="J121"/>
    </row>
    <row r="122" spans="1:10" x14ac:dyDescent="0.25">
      <c r="A122" s="17" t="str">
        <f>IF(ROW()-3&lt;=Parameters!$N$7,INT((ROW()-4)/Parameters!$N$6)+1,"")</f>
        <v/>
      </c>
      <c r="B122" s="17" t="str">
        <f>IF(A122="","",MOD(ROW()-4,Parameters!$N$6)+1)</f>
        <v/>
      </c>
      <c r="C122" s="17" t="str">
        <f t="shared" si="12"/>
        <v/>
      </c>
      <c r="D122" s="14" t="str" cm="1">
        <f t="array" ref="D122">IF(B122="","",INDEX(Parameters!$L$5:$L$104,B122))</f>
        <v/>
      </c>
      <c r="E122" s="18" t="str" cm="1">
        <f t="array" ref="E122">IF(A122="","",INDEX(Parameters!$C$5:$C$104,A122))</f>
        <v/>
      </c>
      <c r="F122" s="18" t="str" cm="1">
        <f t="array" ref="F122">IF(A122="","",INDEX(Parameters!$G$5:$G$104,A122))</f>
        <v/>
      </c>
      <c r="G122" s="18" t="str">
        <f t="shared" si="10"/>
        <v/>
      </c>
      <c r="H122" s="18" t="str">
        <f t="shared" si="11"/>
        <v/>
      </c>
      <c r="I122" s="18" t="str" cm="1">
        <f t="array" ref="I122">IF(A122="","",INDEX(Parameters!$B$5:$B$104,A122))</f>
        <v/>
      </c>
      <c r="J122"/>
    </row>
    <row r="123" spans="1:10" x14ac:dyDescent="0.25">
      <c r="A123" s="17" t="str">
        <f>IF(ROW()-3&lt;=Parameters!$N$7,INT((ROW()-4)/Parameters!$N$6)+1,"")</f>
        <v/>
      </c>
      <c r="B123" s="17" t="str">
        <f>IF(A123="","",MOD(ROW()-4,Parameters!$N$6)+1)</f>
        <v/>
      </c>
      <c r="C123" s="17" t="str">
        <f t="shared" si="12"/>
        <v/>
      </c>
      <c r="D123" s="14" t="str" cm="1">
        <f t="array" ref="D123">IF(B123="","",INDEX(Parameters!$L$5:$L$104,B123))</f>
        <v/>
      </c>
      <c r="E123" s="18" t="str" cm="1">
        <f t="array" ref="E123">IF(A123="","",INDEX(Parameters!$C$5:$C$104,A123))</f>
        <v/>
      </c>
      <c r="F123" s="18" t="str" cm="1">
        <f t="array" ref="F123">IF(A123="","",INDEX(Parameters!$G$5:$G$104,A123))</f>
        <v/>
      </c>
      <c r="G123" s="18" t="str">
        <f t="shared" si="10"/>
        <v/>
      </c>
      <c r="H123" s="18" t="str">
        <f t="shared" si="11"/>
        <v/>
      </c>
      <c r="I123" s="18" t="str" cm="1">
        <f t="array" ref="I123">IF(A123="","",INDEX(Parameters!$B$5:$B$104,A123))</f>
        <v/>
      </c>
      <c r="J123"/>
    </row>
    <row r="124" spans="1:10" x14ac:dyDescent="0.25">
      <c r="A124" s="17" t="str">
        <f>IF(ROW()-3&lt;=Parameters!$N$7,INT((ROW()-4)/Parameters!$N$6)+1,"")</f>
        <v/>
      </c>
      <c r="B124" s="17" t="str">
        <f>IF(A124="","",MOD(ROW()-4,Parameters!$N$6)+1)</f>
        <v/>
      </c>
      <c r="C124" s="17" t="str">
        <f t="shared" si="12"/>
        <v/>
      </c>
      <c r="D124" s="14" t="str" cm="1">
        <f t="array" ref="D124">IF(B124="","",INDEX(Parameters!$L$5:$L$104,B124))</f>
        <v/>
      </c>
      <c r="E124" s="18" t="str" cm="1">
        <f t="array" ref="E124">IF(A124="","",INDEX(Parameters!$C$5:$C$104,A124))</f>
        <v/>
      </c>
      <c r="F124" s="18" t="str" cm="1">
        <f t="array" ref="F124">IF(A124="","",INDEX(Parameters!$G$5:$G$104,A124))</f>
        <v/>
      </c>
      <c r="G124" s="18" t="str">
        <f t="shared" si="10"/>
        <v/>
      </c>
      <c r="H124" s="18" t="str">
        <f t="shared" si="11"/>
        <v/>
      </c>
      <c r="I124" s="18" t="str" cm="1">
        <f t="array" ref="I124">IF(A124="","",INDEX(Parameters!$B$5:$B$104,A124))</f>
        <v/>
      </c>
      <c r="J124"/>
    </row>
    <row r="125" spans="1:10" x14ac:dyDescent="0.25">
      <c r="A125" s="17" t="str">
        <f>IF(ROW()-3&lt;=Parameters!$N$7,INT((ROW()-4)/Parameters!$N$6)+1,"")</f>
        <v/>
      </c>
      <c r="B125" s="17" t="str">
        <f>IF(A125="","",MOD(ROW()-4,Parameters!$N$6)+1)</f>
        <v/>
      </c>
      <c r="C125" s="17" t="str">
        <f t="shared" si="12"/>
        <v/>
      </c>
      <c r="D125" s="14" t="str" cm="1">
        <f t="array" ref="D125">IF(B125="","",INDEX(Parameters!$L$5:$L$104,B125))</f>
        <v/>
      </c>
      <c r="E125" s="18" t="str" cm="1">
        <f t="array" ref="E125">IF(A125="","",INDEX(Parameters!$C$5:$C$104,A125))</f>
        <v/>
      </c>
      <c r="F125" s="18" t="str" cm="1">
        <f t="array" ref="F125">IF(A125="","",INDEX(Parameters!$G$5:$G$104,A125))</f>
        <v/>
      </c>
      <c r="G125" s="18" t="str">
        <f t="shared" si="10"/>
        <v/>
      </c>
      <c r="H125" s="18" t="str">
        <f t="shared" si="11"/>
        <v/>
      </c>
      <c r="I125" s="18" t="str" cm="1">
        <f t="array" ref="I125">IF(A125="","",INDEX(Parameters!$B$5:$B$104,A125))</f>
        <v/>
      </c>
      <c r="J125"/>
    </row>
    <row r="126" spans="1:10" x14ac:dyDescent="0.25">
      <c r="A126" s="17" t="str">
        <f>IF(ROW()-3&lt;=Parameters!$N$7,INT((ROW()-4)/Parameters!$N$6)+1,"")</f>
        <v/>
      </c>
      <c r="B126" s="17" t="str">
        <f>IF(A126="","",MOD(ROW()-4,Parameters!$N$6)+1)</f>
        <v/>
      </c>
      <c r="C126" s="17" t="str">
        <f t="shared" si="12"/>
        <v/>
      </c>
      <c r="D126" s="14" t="str" cm="1">
        <f t="array" ref="D126">IF(B126="","",INDEX(Parameters!$L$5:$L$104,B126))</f>
        <v/>
      </c>
      <c r="E126" s="18" t="str" cm="1">
        <f t="array" ref="E126">IF(A126="","",INDEX(Parameters!$C$5:$C$104,A126))</f>
        <v/>
      </c>
      <c r="F126" s="18" t="str" cm="1">
        <f t="array" ref="F126">IF(A126="","",INDEX(Parameters!$G$5:$G$104,A126))</f>
        <v/>
      </c>
      <c r="G126" s="18" t="str">
        <f t="shared" si="10"/>
        <v/>
      </c>
      <c r="H126" s="18" t="str">
        <f t="shared" si="11"/>
        <v/>
      </c>
      <c r="I126" s="18" t="str" cm="1">
        <f t="array" ref="I126">IF(A126="","",INDEX(Parameters!$B$5:$B$104,A126))</f>
        <v/>
      </c>
      <c r="J126"/>
    </row>
    <row r="127" spans="1:10" x14ac:dyDescent="0.25">
      <c r="A127" s="17" t="str">
        <f>IF(ROW()-3&lt;=Parameters!$N$7,INT((ROW()-4)/Parameters!$N$6)+1,"")</f>
        <v/>
      </c>
      <c r="B127" s="17" t="str">
        <f>IF(A127="","",MOD(ROW()-4,Parameters!$N$6)+1)</f>
        <v/>
      </c>
      <c r="C127" s="17" t="str">
        <f t="shared" si="12"/>
        <v/>
      </c>
      <c r="D127" s="14" t="str" cm="1">
        <f t="array" ref="D127">IF(B127="","",INDEX(Parameters!$L$5:$L$104,B127))</f>
        <v/>
      </c>
      <c r="E127" s="18" t="str" cm="1">
        <f t="array" ref="E127">IF(A127="","",INDEX(Parameters!$C$5:$C$104,A127))</f>
        <v/>
      </c>
      <c r="F127" s="18" t="str" cm="1">
        <f t="array" ref="F127">IF(A127="","",INDEX(Parameters!$G$5:$G$104,A127))</f>
        <v/>
      </c>
      <c r="G127" s="18" t="str">
        <f t="shared" si="10"/>
        <v/>
      </c>
      <c r="H127" s="18" t="str">
        <f t="shared" si="11"/>
        <v/>
      </c>
      <c r="I127" s="18" t="str" cm="1">
        <f t="array" ref="I127">IF(A127="","",INDEX(Parameters!$B$5:$B$104,A127))</f>
        <v/>
      </c>
      <c r="J127"/>
    </row>
    <row r="128" spans="1:10" x14ac:dyDescent="0.25">
      <c r="A128" s="17" t="str">
        <f>IF(ROW()-3&lt;=Parameters!$N$7,INT((ROW()-4)/Parameters!$N$6)+1,"")</f>
        <v/>
      </c>
      <c r="B128" s="17" t="str">
        <f>IF(A128="","",MOD(ROW()-4,Parameters!$N$6)+1)</f>
        <v/>
      </c>
      <c r="C128" s="17" t="str">
        <f t="shared" si="12"/>
        <v/>
      </c>
      <c r="D128" s="14" t="str" cm="1">
        <f t="array" ref="D128">IF(B128="","",INDEX(Parameters!$L$5:$L$104,B128))</f>
        <v/>
      </c>
      <c r="E128" s="18" t="str" cm="1">
        <f t="array" ref="E128">IF(A128="","",INDEX(Parameters!$C$5:$C$104,A128))</f>
        <v/>
      </c>
      <c r="F128" s="18" t="str" cm="1">
        <f t="array" ref="F128">IF(A128="","",INDEX(Parameters!$G$5:$G$104,A128))</f>
        <v/>
      </c>
      <c r="G128" s="18" t="str">
        <f t="shared" si="10"/>
        <v/>
      </c>
      <c r="H128" s="18" t="str">
        <f t="shared" si="11"/>
        <v/>
      </c>
      <c r="I128" s="18" t="str" cm="1">
        <f t="array" ref="I128">IF(A128="","",INDEX(Parameters!$B$5:$B$104,A128))</f>
        <v/>
      </c>
      <c r="J128"/>
    </row>
    <row r="129" spans="1:10" x14ac:dyDescent="0.25">
      <c r="A129" s="17" t="str">
        <f>IF(ROW()-3&lt;=Parameters!$N$7,INT((ROW()-4)/Parameters!$N$6)+1,"")</f>
        <v/>
      </c>
      <c r="B129" s="17" t="str">
        <f>IF(A129="","",MOD(ROW()-4,Parameters!$N$6)+1)</f>
        <v/>
      </c>
      <c r="C129" s="17" t="str">
        <f t="shared" si="12"/>
        <v/>
      </c>
      <c r="D129" s="14" t="str" cm="1">
        <f t="array" ref="D129">IF(B129="","",INDEX(Parameters!$L$5:$L$104,B129))</f>
        <v/>
      </c>
      <c r="E129" s="18" t="str" cm="1">
        <f t="array" ref="E129">IF(A129="","",INDEX(Parameters!$C$5:$C$104,A129))</f>
        <v/>
      </c>
      <c r="F129" s="18" t="str" cm="1">
        <f t="array" ref="F129">IF(A129="","",INDEX(Parameters!$G$5:$G$104,A129))</f>
        <v/>
      </c>
      <c r="G129" s="18" t="str">
        <f t="shared" si="10"/>
        <v/>
      </c>
      <c r="H129" s="18" t="str">
        <f t="shared" si="11"/>
        <v/>
      </c>
      <c r="I129" s="18" t="str" cm="1">
        <f t="array" ref="I129">IF(A129="","",INDEX(Parameters!$B$5:$B$104,A129))</f>
        <v/>
      </c>
      <c r="J129"/>
    </row>
    <row r="130" spans="1:10" x14ac:dyDescent="0.25">
      <c r="A130" s="17" t="str">
        <f>IF(ROW()-3&lt;=Parameters!$N$7,INT((ROW()-4)/Parameters!$N$6)+1,"")</f>
        <v/>
      </c>
      <c r="B130" s="17" t="str">
        <f>IF(A130="","",MOD(ROW()-4,Parameters!$N$6)+1)</f>
        <v/>
      </c>
      <c r="C130" s="17" t="str">
        <f t="shared" si="12"/>
        <v/>
      </c>
      <c r="D130" s="14" t="str" cm="1">
        <f t="array" ref="D130">IF(B130="","",INDEX(Parameters!$L$5:$L$104,B130))</f>
        <v/>
      </c>
      <c r="E130" s="18" t="str" cm="1">
        <f t="array" ref="E130">IF(A130="","",INDEX(Parameters!$C$5:$C$104,A130))</f>
        <v/>
      </c>
      <c r="F130" s="18" t="str" cm="1">
        <f t="array" ref="F130">IF(A130="","",INDEX(Parameters!$G$5:$G$104,A130))</f>
        <v/>
      </c>
      <c r="G130" s="18" t="str">
        <f t="shared" si="10"/>
        <v/>
      </c>
      <c r="H130" s="18" t="str">
        <f t="shared" si="11"/>
        <v/>
      </c>
      <c r="I130" s="18" t="str" cm="1">
        <f t="array" ref="I130">IF(A130="","",INDEX(Parameters!$B$5:$B$104,A130))</f>
        <v/>
      </c>
      <c r="J130"/>
    </row>
    <row r="131" spans="1:10" x14ac:dyDescent="0.25">
      <c r="A131" s="17" t="str">
        <f>IF(ROW()-3&lt;=Parameters!$N$7,INT((ROW()-4)/Parameters!$N$6)+1,"")</f>
        <v/>
      </c>
      <c r="B131" s="17" t="str">
        <f>IF(A131="","",MOD(ROW()-4,Parameters!$N$6)+1)</f>
        <v/>
      </c>
      <c r="C131" s="17" t="str">
        <f t="shared" si="12"/>
        <v/>
      </c>
      <c r="D131" s="14" t="str" cm="1">
        <f t="array" ref="D131">IF(B131="","",INDEX(Parameters!$L$5:$L$104,B131))</f>
        <v/>
      </c>
      <c r="E131" s="18" t="str" cm="1">
        <f t="array" ref="E131">IF(A131="","",INDEX(Parameters!$C$5:$C$104,A131))</f>
        <v/>
      </c>
      <c r="F131" s="18" t="str" cm="1">
        <f t="array" ref="F131">IF(A131="","",INDEX(Parameters!$G$5:$G$104,A131))</f>
        <v/>
      </c>
      <c r="G131" s="18" t="str">
        <f t="shared" si="10"/>
        <v/>
      </c>
      <c r="H131" s="18" t="str">
        <f t="shared" si="11"/>
        <v/>
      </c>
      <c r="I131" s="18" t="str" cm="1">
        <f t="array" ref="I131">IF(A131="","",INDEX(Parameters!$B$5:$B$104,A131))</f>
        <v/>
      </c>
      <c r="J131"/>
    </row>
    <row r="132" spans="1:10" x14ac:dyDescent="0.25">
      <c r="A132" s="17" t="str">
        <f>IF(ROW()-3&lt;=Parameters!$N$7,INT((ROW()-4)/Parameters!$N$6)+1,"")</f>
        <v/>
      </c>
      <c r="B132" s="17" t="str">
        <f>IF(A132="","",MOD(ROW()-4,Parameters!$N$6)+1)</f>
        <v/>
      </c>
      <c r="C132" s="17" t="str">
        <f t="shared" si="12"/>
        <v/>
      </c>
      <c r="D132" s="14" t="str" cm="1">
        <f t="array" ref="D132">IF(B132="","",INDEX(Parameters!$L$5:$L$104,B132))</f>
        <v/>
      </c>
      <c r="E132" s="18" t="str" cm="1">
        <f t="array" ref="E132">IF(A132="","",INDEX(Parameters!$C$5:$C$104,A132))</f>
        <v/>
      </c>
      <c r="F132" s="18" t="str" cm="1">
        <f t="array" ref="F132">IF(A132="","",INDEX(Parameters!$G$5:$G$104,A132))</f>
        <v/>
      </c>
      <c r="G132" s="18" t="str">
        <f t="shared" ref="G132:G163" si="13">IF(F132="","",F132&amp;"_"&amp;UPPER(SUBSTITUTE(D132," ","_")))</f>
        <v/>
      </c>
      <c r="H132" s="18" t="str">
        <f t="shared" ref="H132:H163" si="14">IF(A132="","",I132&amp;" / "&amp;E132&amp;" / Visibility: "&amp;D132)</f>
        <v/>
      </c>
      <c r="I132" s="18" t="str" cm="1">
        <f t="array" ref="I132">IF(A132="","",INDEX(Parameters!$B$5:$B$104,A132))</f>
        <v/>
      </c>
      <c r="J132"/>
    </row>
    <row r="133" spans="1:10" x14ac:dyDescent="0.25">
      <c r="A133" s="17" t="str">
        <f>IF(ROW()-3&lt;=Parameters!$N$7,INT((ROW()-4)/Parameters!$N$6)+1,"")</f>
        <v/>
      </c>
      <c r="B133" s="17" t="str">
        <f>IF(A133="","",MOD(ROW()-4,Parameters!$N$6)+1)</f>
        <v/>
      </c>
      <c r="C133" s="17" t="str">
        <f t="shared" si="12"/>
        <v/>
      </c>
      <c r="D133" s="14" t="str" cm="1">
        <f t="array" ref="D133">IF(B133="","",INDEX(Parameters!$L$5:$L$104,B133))</f>
        <v/>
      </c>
      <c r="E133" s="18" t="str" cm="1">
        <f t="array" ref="E133">IF(A133="","",INDEX(Parameters!$C$5:$C$104,A133))</f>
        <v/>
      </c>
      <c r="F133" s="18" t="str" cm="1">
        <f t="array" ref="F133">IF(A133="","",INDEX(Parameters!$G$5:$G$104,A133))</f>
        <v/>
      </c>
      <c r="G133" s="18" t="str">
        <f t="shared" si="13"/>
        <v/>
      </c>
      <c r="H133" s="18" t="str">
        <f t="shared" si="14"/>
        <v/>
      </c>
      <c r="I133" s="18" t="str" cm="1">
        <f t="array" ref="I133">IF(A133="","",INDEX(Parameters!$B$5:$B$104,A133))</f>
        <v/>
      </c>
      <c r="J133"/>
    </row>
    <row r="134" spans="1:10" x14ac:dyDescent="0.25">
      <c r="A134" s="17" t="str">
        <f>IF(ROW()-3&lt;=Parameters!$N$7,INT((ROW()-4)/Parameters!$N$6)+1,"")</f>
        <v/>
      </c>
      <c r="B134" s="17" t="str">
        <f>IF(A134="","",MOD(ROW()-4,Parameters!$N$6)+1)</f>
        <v/>
      </c>
      <c r="C134" s="17" t="str">
        <f t="shared" si="12"/>
        <v/>
      </c>
      <c r="D134" s="14" t="str" cm="1">
        <f t="array" ref="D134">IF(B134="","",INDEX(Parameters!$L$5:$L$104,B134))</f>
        <v/>
      </c>
      <c r="E134" s="18" t="str" cm="1">
        <f t="array" ref="E134">IF(A134="","",INDEX(Parameters!$C$5:$C$104,A134))</f>
        <v/>
      </c>
      <c r="F134" s="18" t="str" cm="1">
        <f t="array" ref="F134">IF(A134="","",INDEX(Parameters!$G$5:$G$104,A134))</f>
        <v/>
      </c>
      <c r="G134" s="18" t="str">
        <f t="shared" si="13"/>
        <v/>
      </c>
      <c r="H134" s="18" t="str">
        <f t="shared" si="14"/>
        <v/>
      </c>
      <c r="I134" s="18" t="str" cm="1">
        <f t="array" ref="I134">IF(A134="","",INDEX(Parameters!$B$5:$B$104,A134))</f>
        <v/>
      </c>
      <c r="J134"/>
    </row>
    <row r="135" spans="1:10" x14ac:dyDescent="0.25">
      <c r="A135" s="17" t="str">
        <f>IF(ROW()-3&lt;=Parameters!$N$7,INT((ROW()-4)/Parameters!$N$6)+1,"")</f>
        <v/>
      </c>
      <c r="B135" s="17" t="str">
        <f>IF(A135="","",MOD(ROW()-4,Parameters!$N$6)+1)</f>
        <v/>
      </c>
      <c r="C135" s="17" t="str">
        <f t="shared" si="12"/>
        <v/>
      </c>
      <c r="D135" s="14" t="str" cm="1">
        <f t="array" ref="D135">IF(B135="","",INDEX(Parameters!$L$5:$L$104,B135))</f>
        <v/>
      </c>
      <c r="E135" s="18" t="str" cm="1">
        <f t="array" ref="E135">IF(A135="","",INDEX(Parameters!$C$5:$C$104,A135))</f>
        <v/>
      </c>
      <c r="F135" s="18" t="str" cm="1">
        <f t="array" ref="F135">IF(A135="","",INDEX(Parameters!$G$5:$G$104,A135))</f>
        <v/>
      </c>
      <c r="G135" s="18" t="str">
        <f t="shared" si="13"/>
        <v/>
      </c>
      <c r="H135" s="18" t="str">
        <f t="shared" si="14"/>
        <v/>
      </c>
      <c r="I135" s="18" t="str" cm="1">
        <f t="array" ref="I135">IF(A135="","",INDEX(Parameters!$B$5:$B$104,A135))</f>
        <v/>
      </c>
      <c r="J135"/>
    </row>
    <row r="136" spans="1:10" x14ac:dyDescent="0.25">
      <c r="A136" s="17" t="str">
        <f>IF(ROW()-3&lt;=Parameters!$N$7,INT((ROW()-4)/Parameters!$N$6)+1,"")</f>
        <v/>
      </c>
      <c r="B136" s="17" t="str">
        <f>IF(A136="","",MOD(ROW()-4,Parameters!$N$6)+1)</f>
        <v/>
      </c>
      <c r="C136" s="17" t="str">
        <f t="shared" si="12"/>
        <v/>
      </c>
      <c r="D136" s="14" t="str" cm="1">
        <f t="array" ref="D136">IF(B136="","",INDEX(Parameters!$L$5:$L$104,B136))</f>
        <v/>
      </c>
      <c r="E136" s="18" t="str" cm="1">
        <f t="array" ref="E136">IF(A136="","",INDEX(Parameters!$C$5:$C$104,A136))</f>
        <v/>
      </c>
      <c r="F136" s="18" t="str" cm="1">
        <f t="array" ref="F136">IF(A136="","",INDEX(Parameters!$G$5:$G$104,A136))</f>
        <v/>
      </c>
      <c r="G136" s="18" t="str">
        <f t="shared" si="13"/>
        <v/>
      </c>
      <c r="H136" s="18" t="str">
        <f t="shared" si="14"/>
        <v/>
      </c>
      <c r="I136" s="18" t="str" cm="1">
        <f t="array" ref="I136">IF(A136="","",INDEX(Parameters!$B$5:$B$104,A136))</f>
        <v/>
      </c>
      <c r="J136"/>
    </row>
    <row r="137" spans="1:10" x14ac:dyDescent="0.25">
      <c r="A137" s="17" t="str">
        <f>IF(ROW()-3&lt;=Parameters!$N$7,INT((ROW()-4)/Parameters!$N$6)+1,"")</f>
        <v/>
      </c>
      <c r="B137" s="17" t="str">
        <f>IF(A137="","",MOD(ROW()-4,Parameters!$N$6)+1)</f>
        <v/>
      </c>
      <c r="C137" s="17" t="str">
        <f t="shared" si="12"/>
        <v/>
      </c>
      <c r="D137" s="14" t="str" cm="1">
        <f t="array" ref="D137">IF(B137="","",INDEX(Parameters!$L$5:$L$104,B137))</f>
        <v/>
      </c>
      <c r="E137" s="18" t="str" cm="1">
        <f t="array" ref="E137">IF(A137="","",INDEX(Parameters!$C$5:$C$104,A137))</f>
        <v/>
      </c>
      <c r="F137" s="18" t="str" cm="1">
        <f t="array" ref="F137">IF(A137="","",INDEX(Parameters!$G$5:$G$104,A137))</f>
        <v/>
      </c>
      <c r="G137" s="18" t="str">
        <f t="shared" si="13"/>
        <v/>
      </c>
      <c r="H137" s="18" t="str">
        <f t="shared" si="14"/>
        <v/>
      </c>
      <c r="I137" s="18" t="str" cm="1">
        <f t="array" ref="I137">IF(A137="","",INDEX(Parameters!$B$5:$B$104,A137))</f>
        <v/>
      </c>
      <c r="J137"/>
    </row>
    <row r="138" spans="1:10" x14ac:dyDescent="0.25">
      <c r="A138" s="17" t="str">
        <f>IF(ROW()-3&lt;=Parameters!$N$7,INT((ROW()-4)/Parameters!$N$6)+1,"")</f>
        <v/>
      </c>
      <c r="B138" s="17" t="str">
        <f>IF(A138="","",MOD(ROW()-4,Parameters!$N$6)+1)</f>
        <v/>
      </c>
      <c r="C138" s="17" t="str">
        <f t="shared" si="12"/>
        <v/>
      </c>
      <c r="D138" s="14" t="str" cm="1">
        <f t="array" ref="D138">IF(B138="","",INDEX(Parameters!$L$5:$L$104,B138))</f>
        <v/>
      </c>
      <c r="E138" s="18" t="str" cm="1">
        <f t="array" ref="E138">IF(A138="","",INDEX(Parameters!$C$5:$C$104,A138))</f>
        <v/>
      </c>
      <c r="F138" s="18" t="str" cm="1">
        <f t="array" ref="F138">IF(A138="","",INDEX(Parameters!$G$5:$G$104,A138))</f>
        <v/>
      </c>
      <c r="G138" s="18" t="str">
        <f t="shared" si="13"/>
        <v/>
      </c>
      <c r="H138" s="18" t="str">
        <f t="shared" si="14"/>
        <v/>
      </c>
      <c r="I138" s="18" t="str" cm="1">
        <f t="array" ref="I138">IF(A138="","",INDEX(Parameters!$B$5:$B$104,A138))</f>
        <v/>
      </c>
      <c r="J138"/>
    </row>
    <row r="139" spans="1:10" x14ac:dyDescent="0.25">
      <c r="A139" s="17" t="str">
        <f>IF(ROW()-3&lt;=Parameters!$N$7,INT((ROW()-4)/Parameters!$N$6)+1,"")</f>
        <v/>
      </c>
      <c r="B139" s="17" t="str">
        <f>IF(A139="","",MOD(ROW()-4,Parameters!$N$6)+1)</f>
        <v/>
      </c>
      <c r="C139" s="17" t="str">
        <f t="shared" si="12"/>
        <v/>
      </c>
      <c r="D139" s="14" t="str" cm="1">
        <f t="array" ref="D139">IF(B139="","",INDEX(Parameters!$L$5:$L$104,B139))</f>
        <v/>
      </c>
      <c r="E139" s="18" t="str" cm="1">
        <f t="array" ref="E139">IF(A139="","",INDEX(Parameters!$C$5:$C$104,A139))</f>
        <v/>
      </c>
      <c r="F139" s="18" t="str" cm="1">
        <f t="array" ref="F139">IF(A139="","",INDEX(Parameters!$G$5:$G$104,A139))</f>
        <v/>
      </c>
      <c r="G139" s="18" t="str">
        <f t="shared" si="13"/>
        <v/>
      </c>
      <c r="H139" s="18" t="str">
        <f t="shared" si="14"/>
        <v/>
      </c>
      <c r="I139" s="18" t="str" cm="1">
        <f t="array" ref="I139">IF(A139="","",INDEX(Parameters!$B$5:$B$104,A139))</f>
        <v/>
      </c>
      <c r="J139"/>
    </row>
    <row r="140" spans="1:10" x14ac:dyDescent="0.25">
      <c r="A140" s="17" t="str">
        <f>IF(ROW()-3&lt;=Parameters!$N$7,INT((ROW()-4)/Parameters!$N$6)+1,"")</f>
        <v/>
      </c>
      <c r="B140" s="17" t="str">
        <f>IF(A140="","",MOD(ROW()-4,Parameters!$N$6)+1)</f>
        <v/>
      </c>
      <c r="C140" s="17" t="str">
        <f t="shared" si="12"/>
        <v/>
      </c>
      <c r="D140" s="14" t="str" cm="1">
        <f t="array" ref="D140">IF(B140="","",INDEX(Parameters!$L$5:$L$104,B140))</f>
        <v/>
      </c>
      <c r="E140" s="18" t="str" cm="1">
        <f t="array" ref="E140">IF(A140="","",INDEX(Parameters!$C$5:$C$104,A140))</f>
        <v/>
      </c>
      <c r="F140" s="18" t="str" cm="1">
        <f t="array" ref="F140">IF(A140="","",INDEX(Parameters!$G$5:$G$104,A140))</f>
        <v/>
      </c>
      <c r="G140" s="18" t="str">
        <f t="shared" si="13"/>
        <v/>
      </c>
      <c r="H140" s="18" t="str">
        <f t="shared" si="14"/>
        <v/>
      </c>
      <c r="I140" s="18" t="str" cm="1">
        <f t="array" ref="I140">IF(A140="","",INDEX(Parameters!$B$5:$B$104,A140))</f>
        <v/>
      </c>
      <c r="J140"/>
    </row>
    <row r="141" spans="1:10" x14ac:dyDescent="0.25">
      <c r="A141" s="17" t="str">
        <f>IF(ROW()-3&lt;=Parameters!$N$7,INT((ROW()-4)/Parameters!$N$6)+1,"")</f>
        <v/>
      </c>
      <c r="B141" s="17" t="str">
        <f>IF(A141="","",MOD(ROW()-4,Parameters!$N$6)+1)</f>
        <v/>
      </c>
      <c r="C141" s="17" t="str">
        <f t="shared" si="12"/>
        <v/>
      </c>
      <c r="D141" s="14" t="str" cm="1">
        <f t="array" ref="D141">IF(B141="","",INDEX(Parameters!$L$5:$L$104,B141))</f>
        <v/>
      </c>
      <c r="E141" s="18" t="str" cm="1">
        <f t="array" ref="E141">IF(A141="","",INDEX(Parameters!$C$5:$C$104,A141))</f>
        <v/>
      </c>
      <c r="F141" s="18" t="str" cm="1">
        <f t="array" ref="F141">IF(A141="","",INDEX(Parameters!$G$5:$G$104,A141))</f>
        <v/>
      </c>
      <c r="G141" s="18" t="str">
        <f t="shared" si="13"/>
        <v/>
      </c>
      <c r="H141" s="18" t="str">
        <f t="shared" si="14"/>
        <v/>
      </c>
      <c r="I141" s="18" t="str" cm="1">
        <f t="array" ref="I141">IF(A141="","",INDEX(Parameters!$B$5:$B$104,A141))</f>
        <v/>
      </c>
      <c r="J141"/>
    </row>
    <row r="142" spans="1:10" x14ac:dyDescent="0.25">
      <c r="A142" s="17" t="str">
        <f>IF(ROW()-3&lt;=Parameters!$N$7,INT((ROW()-4)/Parameters!$N$6)+1,"")</f>
        <v/>
      </c>
      <c r="B142" s="17" t="str">
        <f>IF(A142="","",MOD(ROW()-4,Parameters!$N$6)+1)</f>
        <v/>
      </c>
      <c r="C142" s="17" t="str">
        <f t="shared" si="12"/>
        <v/>
      </c>
      <c r="D142" s="14" t="str" cm="1">
        <f t="array" ref="D142">IF(B142="","",INDEX(Parameters!$L$5:$L$104,B142))</f>
        <v/>
      </c>
      <c r="E142" s="18" t="str" cm="1">
        <f t="array" ref="E142">IF(A142="","",INDEX(Parameters!$C$5:$C$104,A142))</f>
        <v/>
      </c>
      <c r="F142" s="18" t="str" cm="1">
        <f t="array" ref="F142">IF(A142="","",INDEX(Parameters!$G$5:$G$104,A142))</f>
        <v/>
      </c>
      <c r="G142" s="18" t="str">
        <f t="shared" si="13"/>
        <v/>
      </c>
      <c r="H142" s="18" t="str">
        <f t="shared" si="14"/>
        <v/>
      </c>
      <c r="I142" s="18" t="str" cm="1">
        <f t="array" ref="I142">IF(A142="","",INDEX(Parameters!$B$5:$B$104,A142))</f>
        <v/>
      </c>
      <c r="J142"/>
    </row>
    <row r="143" spans="1:10" x14ac:dyDescent="0.25">
      <c r="A143" s="17" t="str">
        <f>IF(ROW()-3&lt;=Parameters!$N$7,INT((ROW()-4)/Parameters!$N$6)+1,"")</f>
        <v/>
      </c>
      <c r="B143" s="17" t="str">
        <f>IF(A143="","",MOD(ROW()-4,Parameters!$N$6)+1)</f>
        <v/>
      </c>
      <c r="C143" s="17" t="str">
        <f t="shared" ref="C143:C174" si="15">IF(A143="","",A143&amp;"-"&amp;B143)</f>
        <v/>
      </c>
      <c r="D143" s="14" t="str" cm="1">
        <f t="array" ref="D143">IF(B143="","",INDEX(Parameters!$L$5:$L$104,B143))</f>
        <v/>
      </c>
      <c r="E143" s="18" t="str" cm="1">
        <f t="array" ref="E143">IF(A143="","",INDEX(Parameters!$C$5:$C$104,A143))</f>
        <v/>
      </c>
      <c r="F143" s="18" t="str" cm="1">
        <f t="array" ref="F143">IF(A143="","",INDEX(Parameters!$G$5:$G$104,A143))</f>
        <v/>
      </c>
      <c r="G143" s="18" t="str">
        <f t="shared" si="13"/>
        <v/>
      </c>
      <c r="H143" s="18" t="str">
        <f t="shared" si="14"/>
        <v/>
      </c>
      <c r="I143" s="18" t="str" cm="1">
        <f t="array" ref="I143">IF(A143="","",INDEX(Parameters!$B$5:$B$104,A143))</f>
        <v/>
      </c>
      <c r="J143"/>
    </row>
    <row r="144" spans="1:10" x14ac:dyDescent="0.25">
      <c r="A144" s="17" t="str">
        <f>IF(ROW()-3&lt;=Parameters!$N$7,INT((ROW()-4)/Parameters!$N$6)+1,"")</f>
        <v/>
      </c>
      <c r="B144" s="17" t="str">
        <f>IF(A144="","",MOD(ROW()-4,Parameters!$N$6)+1)</f>
        <v/>
      </c>
      <c r="C144" s="17" t="str">
        <f t="shared" si="15"/>
        <v/>
      </c>
      <c r="D144" s="14" t="str" cm="1">
        <f t="array" ref="D144">IF(B144="","",INDEX(Parameters!$L$5:$L$104,B144))</f>
        <v/>
      </c>
      <c r="E144" s="18" t="str" cm="1">
        <f t="array" ref="E144">IF(A144="","",INDEX(Parameters!$C$5:$C$104,A144))</f>
        <v/>
      </c>
      <c r="F144" s="18" t="str" cm="1">
        <f t="array" ref="F144">IF(A144="","",INDEX(Parameters!$G$5:$G$104,A144))</f>
        <v/>
      </c>
      <c r="G144" s="18" t="str">
        <f t="shared" si="13"/>
        <v/>
      </c>
      <c r="H144" s="18" t="str">
        <f t="shared" si="14"/>
        <v/>
      </c>
      <c r="I144" s="18" t="str" cm="1">
        <f t="array" ref="I144">IF(A144="","",INDEX(Parameters!$B$5:$B$104,A144))</f>
        <v/>
      </c>
      <c r="J144"/>
    </row>
    <row r="145" spans="1:10" x14ac:dyDescent="0.25">
      <c r="A145" s="17" t="str">
        <f>IF(ROW()-3&lt;=Parameters!$N$7,INT((ROW()-4)/Parameters!$N$6)+1,"")</f>
        <v/>
      </c>
      <c r="B145" s="17" t="str">
        <f>IF(A145="","",MOD(ROW()-4,Parameters!$N$6)+1)</f>
        <v/>
      </c>
      <c r="C145" s="17" t="str">
        <f t="shared" si="15"/>
        <v/>
      </c>
      <c r="D145" s="14" t="str" cm="1">
        <f t="array" ref="D145">IF(B145="","",INDEX(Parameters!$L$5:$L$104,B145))</f>
        <v/>
      </c>
      <c r="E145" s="18" t="str" cm="1">
        <f t="array" ref="E145">IF(A145="","",INDEX(Parameters!$C$5:$C$104,A145))</f>
        <v/>
      </c>
      <c r="F145" s="18" t="str" cm="1">
        <f t="array" ref="F145">IF(A145="","",INDEX(Parameters!$G$5:$G$104,A145))</f>
        <v/>
      </c>
      <c r="G145" s="18" t="str">
        <f t="shared" si="13"/>
        <v/>
      </c>
      <c r="H145" s="18" t="str">
        <f t="shared" si="14"/>
        <v/>
      </c>
      <c r="I145" s="18" t="str" cm="1">
        <f t="array" ref="I145">IF(A145="","",INDEX(Parameters!$B$5:$B$104,A145))</f>
        <v/>
      </c>
      <c r="J145"/>
    </row>
    <row r="146" spans="1:10" x14ac:dyDescent="0.25">
      <c r="A146" s="17" t="str">
        <f>IF(ROW()-3&lt;=Parameters!$N$7,INT((ROW()-4)/Parameters!$N$6)+1,"")</f>
        <v/>
      </c>
      <c r="B146" s="17" t="str">
        <f>IF(A146="","",MOD(ROW()-4,Parameters!$N$6)+1)</f>
        <v/>
      </c>
      <c r="C146" s="17" t="str">
        <f t="shared" si="15"/>
        <v/>
      </c>
      <c r="D146" s="14" t="str" cm="1">
        <f t="array" ref="D146">IF(B146="","",INDEX(Parameters!$L$5:$L$104,B146))</f>
        <v/>
      </c>
      <c r="E146" s="18" t="str" cm="1">
        <f t="array" ref="E146">IF(A146="","",INDEX(Parameters!$C$5:$C$104,A146))</f>
        <v/>
      </c>
      <c r="F146" s="18" t="str" cm="1">
        <f t="array" ref="F146">IF(A146="","",INDEX(Parameters!$G$5:$G$104,A146))</f>
        <v/>
      </c>
      <c r="G146" s="18" t="str">
        <f t="shared" si="13"/>
        <v/>
      </c>
      <c r="H146" s="18" t="str">
        <f t="shared" si="14"/>
        <v/>
      </c>
      <c r="I146" s="18" t="str" cm="1">
        <f t="array" ref="I146">IF(A146="","",INDEX(Parameters!$B$5:$B$104,A146))</f>
        <v/>
      </c>
      <c r="J146"/>
    </row>
    <row r="147" spans="1:10" x14ac:dyDescent="0.25">
      <c r="A147" s="17" t="str">
        <f>IF(ROW()-3&lt;=Parameters!$N$7,INT((ROW()-4)/Parameters!$N$6)+1,"")</f>
        <v/>
      </c>
      <c r="B147" s="17" t="str">
        <f>IF(A147="","",MOD(ROW()-4,Parameters!$N$6)+1)</f>
        <v/>
      </c>
      <c r="C147" s="17" t="str">
        <f t="shared" si="15"/>
        <v/>
      </c>
      <c r="D147" s="14" t="str" cm="1">
        <f t="array" ref="D147">IF(B147="","",INDEX(Parameters!$L$5:$L$104,B147))</f>
        <v/>
      </c>
      <c r="E147" s="18" t="str" cm="1">
        <f t="array" ref="E147">IF(A147="","",INDEX(Parameters!$C$5:$C$104,A147))</f>
        <v/>
      </c>
      <c r="F147" s="18" t="str" cm="1">
        <f t="array" ref="F147">IF(A147="","",INDEX(Parameters!$G$5:$G$104,A147))</f>
        <v/>
      </c>
      <c r="G147" s="18" t="str">
        <f t="shared" si="13"/>
        <v/>
      </c>
      <c r="H147" s="18" t="str">
        <f t="shared" si="14"/>
        <v/>
      </c>
      <c r="I147" s="18" t="str" cm="1">
        <f t="array" ref="I147">IF(A147="","",INDEX(Parameters!$B$5:$B$104,A147))</f>
        <v/>
      </c>
      <c r="J147"/>
    </row>
    <row r="148" spans="1:10" x14ac:dyDescent="0.25">
      <c r="A148" s="17" t="str">
        <f>IF(ROW()-3&lt;=Parameters!$N$7,INT((ROW()-4)/Parameters!$N$6)+1,"")</f>
        <v/>
      </c>
      <c r="B148" s="17" t="str">
        <f>IF(A148="","",MOD(ROW()-4,Parameters!$N$6)+1)</f>
        <v/>
      </c>
      <c r="C148" s="17" t="str">
        <f t="shared" si="15"/>
        <v/>
      </c>
      <c r="D148" s="14" t="str" cm="1">
        <f t="array" ref="D148">IF(B148="","",INDEX(Parameters!$L$5:$L$104,B148))</f>
        <v/>
      </c>
      <c r="E148" s="18" t="str" cm="1">
        <f t="array" ref="E148">IF(A148="","",INDEX(Parameters!$C$5:$C$104,A148))</f>
        <v/>
      </c>
      <c r="F148" s="18" t="str" cm="1">
        <f t="array" ref="F148">IF(A148="","",INDEX(Parameters!$G$5:$G$104,A148))</f>
        <v/>
      </c>
      <c r="G148" s="18" t="str">
        <f t="shared" si="13"/>
        <v/>
      </c>
      <c r="H148" s="18" t="str">
        <f t="shared" si="14"/>
        <v/>
      </c>
      <c r="I148" s="18" t="str" cm="1">
        <f t="array" ref="I148">IF(A148="","",INDEX(Parameters!$B$5:$B$104,A148))</f>
        <v/>
      </c>
      <c r="J148"/>
    </row>
    <row r="149" spans="1:10" x14ac:dyDescent="0.25">
      <c r="A149" s="17" t="str">
        <f>IF(ROW()-3&lt;=Parameters!$N$7,INT((ROW()-4)/Parameters!$N$6)+1,"")</f>
        <v/>
      </c>
      <c r="B149" s="17" t="str">
        <f>IF(A149="","",MOD(ROW()-4,Parameters!$N$6)+1)</f>
        <v/>
      </c>
      <c r="C149" s="17" t="str">
        <f t="shared" si="15"/>
        <v/>
      </c>
      <c r="D149" s="14" t="str" cm="1">
        <f t="array" ref="D149">IF(B149="","",INDEX(Parameters!$L$5:$L$104,B149))</f>
        <v/>
      </c>
      <c r="E149" s="18" t="str" cm="1">
        <f t="array" ref="E149">IF(A149="","",INDEX(Parameters!$C$5:$C$104,A149))</f>
        <v/>
      </c>
      <c r="F149" s="18" t="str" cm="1">
        <f t="array" ref="F149">IF(A149="","",INDEX(Parameters!$G$5:$G$104,A149))</f>
        <v/>
      </c>
      <c r="G149" s="18" t="str">
        <f t="shared" si="13"/>
        <v/>
      </c>
      <c r="H149" s="18" t="str">
        <f t="shared" si="14"/>
        <v/>
      </c>
      <c r="I149" s="18" t="str" cm="1">
        <f t="array" ref="I149">IF(A149="","",INDEX(Parameters!$B$5:$B$104,A149))</f>
        <v/>
      </c>
      <c r="J149"/>
    </row>
    <row r="150" spans="1:10" x14ac:dyDescent="0.25">
      <c r="A150" s="17" t="str">
        <f>IF(ROW()-3&lt;=Parameters!$N$7,INT((ROW()-4)/Parameters!$N$6)+1,"")</f>
        <v/>
      </c>
      <c r="B150" s="17" t="str">
        <f>IF(A150="","",MOD(ROW()-4,Parameters!$N$6)+1)</f>
        <v/>
      </c>
      <c r="C150" s="17" t="str">
        <f t="shared" si="15"/>
        <v/>
      </c>
      <c r="D150" s="14" t="str" cm="1">
        <f t="array" ref="D150">IF(B150="","",INDEX(Parameters!$L$5:$L$104,B150))</f>
        <v/>
      </c>
      <c r="E150" s="18" t="str" cm="1">
        <f t="array" ref="E150">IF(A150="","",INDEX(Parameters!$C$5:$C$104,A150))</f>
        <v/>
      </c>
      <c r="F150" s="18" t="str" cm="1">
        <f t="array" ref="F150">IF(A150="","",INDEX(Parameters!$G$5:$G$104,A150))</f>
        <v/>
      </c>
      <c r="G150" s="18" t="str">
        <f t="shared" si="13"/>
        <v/>
      </c>
      <c r="H150" s="18" t="str">
        <f t="shared" si="14"/>
        <v/>
      </c>
      <c r="I150" s="18" t="str" cm="1">
        <f t="array" ref="I150">IF(A150="","",INDEX(Parameters!$B$5:$B$104,A150))</f>
        <v/>
      </c>
      <c r="J150"/>
    </row>
    <row r="151" spans="1:10" x14ac:dyDescent="0.25">
      <c r="A151" s="17" t="str">
        <f>IF(ROW()-3&lt;=Parameters!$N$7,INT((ROW()-4)/Parameters!$N$6)+1,"")</f>
        <v/>
      </c>
      <c r="B151" s="17" t="str">
        <f>IF(A151="","",MOD(ROW()-4,Parameters!$N$6)+1)</f>
        <v/>
      </c>
      <c r="C151" s="17" t="str">
        <f t="shared" si="15"/>
        <v/>
      </c>
      <c r="D151" s="14" t="str" cm="1">
        <f t="array" ref="D151">IF(B151="","",INDEX(Parameters!$L$5:$L$104,B151))</f>
        <v/>
      </c>
      <c r="E151" s="18" t="str" cm="1">
        <f t="array" ref="E151">IF(A151="","",INDEX(Parameters!$C$5:$C$104,A151))</f>
        <v/>
      </c>
      <c r="F151" s="18" t="str" cm="1">
        <f t="array" ref="F151">IF(A151="","",INDEX(Parameters!$G$5:$G$104,A151))</f>
        <v/>
      </c>
      <c r="G151" s="18" t="str">
        <f t="shared" si="13"/>
        <v/>
      </c>
      <c r="H151" s="18" t="str">
        <f t="shared" si="14"/>
        <v/>
      </c>
      <c r="I151" s="18" t="str" cm="1">
        <f t="array" ref="I151">IF(A151="","",INDEX(Parameters!$B$5:$B$104,A151))</f>
        <v/>
      </c>
      <c r="J151"/>
    </row>
    <row r="152" spans="1:10" x14ac:dyDescent="0.25">
      <c r="A152" s="17" t="str">
        <f>IF(ROW()-3&lt;=Parameters!$N$7,INT((ROW()-4)/Parameters!$N$6)+1,"")</f>
        <v/>
      </c>
      <c r="B152" s="17" t="str">
        <f>IF(A152="","",MOD(ROW()-4,Parameters!$N$6)+1)</f>
        <v/>
      </c>
      <c r="C152" s="17" t="str">
        <f t="shared" si="15"/>
        <v/>
      </c>
      <c r="D152" s="14" t="str" cm="1">
        <f t="array" ref="D152">IF(B152="","",INDEX(Parameters!$L$5:$L$104,B152))</f>
        <v/>
      </c>
      <c r="E152" s="18" t="str" cm="1">
        <f t="array" ref="E152">IF(A152="","",INDEX(Parameters!$C$5:$C$104,A152))</f>
        <v/>
      </c>
      <c r="F152" s="18" t="str" cm="1">
        <f t="array" ref="F152">IF(A152="","",INDEX(Parameters!$G$5:$G$104,A152))</f>
        <v/>
      </c>
      <c r="G152" s="18" t="str">
        <f t="shared" si="13"/>
        <v/>
      </c>
      <c r="H152" s="18" t="str">
        <f t="shared" si="14"/>
        <v/>
      </c>
      <c r="I152" s="18" t="str" cm="1">
        <f t="array" ref="I152">IF(A152="","",INDEX(Parameters!$B$5:$B$104,A152))</f>
        <v/>
      </c>
      <c r="J152"/>
    </row>
    <row r="153" spans="1:10" x14ac:dyDescent="0.25">
      <c r="A153" s="17" t="str">
        <f>IF(ROW()-3&lt;=Parameters!$N$7,INT((ROW()-4)/Parameters!$N$6)+1,"")</f>
        <v/>
      </c>
      <c r="B153" s="17" t="str">
        <f>IF(A153="","",MOD(ROW()-4,Parameters!$N$6)+1)</f>
        <v/>
      </c>
      <c r="C153" s="17" t="str">
        <f t="shared" si="15"/>
        <v/>
      </c>
      <c r="D153" s="14" t="str" cm="1">
        <f t="array" ref="D153">IF(B153="","",INDEX(Parameters!$L$5:$L$104,B153))</f>
        <v/>
      </c>
      <c r="E153" s="18" t="str" cm="1">
        <f t="array" ref="E153">IF(A153="","",INDEX(Parameters!$C$5:$C$104,A153))</f>
        <v/>
      </c>
      <c r="F153" s="18" t="str" cm="1">
        <f t="array" ref="F153">IF(A153="","",INDEX(Parameters!$G$5:$G$104,A153))</f>
        <v/>
      </c>
      <c r="G153" s="18" t="str">
        <f t="shared" si="13"/>
        <v/>
      </c>
      <c r="H153" s="18" t="str">
        <f t="shared" si="14"/>
        <v/>
      </c>
      <c r="I153" s="18" t="str" cm="1">
        <f t="array" ref="I153">IF(A153="","",INDEX(Parameters!$B$5:$B$104,A153))</f>
        <v/>
      </c>
      <c r="J153"/>
    </row>
    <row r="154" spans="1:10" x14ac:dyDescent="0.25">
      <c r="A154" s="17" t="str">
        <f>IF(ROW()-3&lt;=Parameters!$N$7,INT((ROW()-4)/Parameters!$N$6)+1,"")</f>
        <v/>
      </c>
      <c r="B154" s="17" t="str">
        <f>IF(A154="","",MOD(ROW()-4,Parameters!$N$6)+1)</f>
        <v/>
      </c>
      <c r="C154" s="17" t="str">
        <f t="shared" si="15"/>
        <v/>
      </c>
      <c r="D154" s="14" t="str" cm="1">
        <f t="array" ref="D154">IF(B154="","",INDEX(Parameters!$L$5:$L$104,B154))</f>
        <v/>
      </c>
      <c r="E154" s="18" t="str" cm="1">
        <f t="array" ref="E154">IF(A154="","",INDEX(Parameters!$C$5:$C$104,A154))</f>
        <v/>
      </c>
      <c r="F154" s="18" t="str" cm="1">
        <f t="array" ref="F154">IF(A154="","",INDEX(Parameters!$G$5:$G$104,A154))</f>
        <v/>
      </c>
      <c r="G154" s="18" t="str">
        <f t="shared" si="13"/>
        <v/>
      </c>
      <c r="H154" s="18" t="str">
        <f t="shared" si="14"/>
        <v/>
      </c>
      <c r="I154" s="18" t="str" cm="1">
        <f t="array" ref="I154">IF(A154="","",INDEX(Parameters!$B$5:$B$104,A154))</f>
        <v/>
      </c>
      <c r="J154"/>
    </row>
    <row r="155" spans="1:10" x14ac:dyDescent="0.25">
      <c r="A155" s="17" t="str">
        <f>IF(ROW()-3&lt;=Parameters!$N$7,INT((ROW()-4)/Parameters!$N$6)+1,"")</f>
        <v/>
      </c>
      <c r="B155" s="17" t="str">
        <f>IF(A155="","",MOD(ROW()-4,Parameters!$N$6)+1)</f>
        <v/>
      </c>
      <c r="C155" s="17" t="str">
        <f t="shared" si="15"/>
        <v/>
      </c>
      <c r="D155" s="14" t="str" cm="1">
        <f t="array" ref="D155">IF(B155="","",INDEX(Parameters!$L$5:$L$104,B155))</f>
        <v/>
      </c>
      <c r="E155" s="18" t="str" cm="1">
        <f t="array" ref="E155">IF(A155="","",INDEX(Parameters!$C$5:$C$104,A155))</f>
        <v/>
      </c>
      <c r="F155" s="18" t="str" cm="1">
        <f t="array" ref="F155">IF(A155="","",INDEX(Parameters!$G$5:$G$104,A155))</f>
        <v/>
      </c>
      <c r="G155" s="18" t="str">
        <f t="shared" si="13"/>
        <v/>
      </c>
      <c r="H155" s="18" t="str">
        <f t="shared" si="14"/>
        <v/>
      </c>
      <c r="I155" s="18" t="str" cm="1">
        <f t="array" ref="I155">IF(A155="","",INDEX(Parameters!$B$5:$B$104,A155))</f>
        <v/>
      </c>
      <c r="J155"/>
    </row>
    <row r="156" spans="1:10" x14ac:dyDescent="0.25">
      <c r="A156" s="17" t="str">
        <f>IF(ROW()-3&lt;=Parameters!$N$7,INT((ROW()-4)/Parameters!$N$6)+1,"")</f>
        <v/>
      </c>
      <c r="B156" s="17" t="str">
        <f>IF(A156="","",MOD(ROW()-4,Parameters!$N$6)+1)</f>
        <v/>
      </c>
      <c r="C156" s="17" t="str">
        <f t="shared" si="15"/>
        <v/>
      </c>
      <c r="D156" s="14" t="str" cm="1">
        <f t="array" ref="D156">IF(B156="","",INDEX(Parameters!$L$5:$L$104,B156))</f>
        <v/>
      </c>
      <c r="E156" s="18" t="str" cm="1">
        <f t="array" ref="E156">IF(A156="","",INDEX(Parameters!$C$5:$C$104,A156))</f>
        <v/>
      </c>
      <c r="F156" s="18" t="str" cm="1">
        <f t="array" ref="F156">IF(A156="","",INDEX(Parameters!$G$5:$G$104,A156))</f>
        <v/>
      </c>
      <c r="G156" s="18" t="str">
        <f t="shared" si="13"/>
        <v/>
      </c>
      <c r="H156" s="18" t="str">
        <f t="shared" si="14"/>
        <v/>
      </c>
      <c r="I156" s="18" t="str" cm="1">
        <f t="array" ref="I156">IF(A156="","",INDEX(Parameters!$B$5:$B$104,A156))</f>
        <v/>
      </c>
      <c r="J156"/>
    </row>
    <row r="157" spans="1:10" x14ac:dyDescent="0.25">
      <c r="A157" s="17" t="str">
        <f>IF(ROW()-3&lt;=Parameters!$N$7,INT((ROW()-4)/Parameters!$N$6)+1,"")</f>
        <v/>
      </c>
      <c r="B157" s="17" t="str">
        <f>IF(A157="","",MOD(ROW()-4,Parameters!$N$6)+1)</f>
        <v/>
      </c>
      <c r="C157" s="17" t="str">
        <f t="shared" si="15"/>
        <v/>
      </c>
      <c r="D157" s="14" t="str" cm="1">
        <f t="array" ref="D157">IF(B157="","",INDEX(Parameters!$L$5:$L$104,B157))</f>
        <v/>
      </c>
      <c r="E157" s="18" t="str" cm="1">
        <f t="array" ref="E157">IF(A157="","",INDEX(Parameters!$C$5:$C$104,A157))</f>
        <v/>
      </c>
      <c r="F157" s="18" t="str" cm="1">
        <f t="array" ref="F157">IF(A157="","",INDEX(Parameters!$G$5:$G$104,A157))</f>
        <v/>
      </c>
      <c r="G157" s="18" t="str">
        <f t="shared" si="13"/>
        <v/>
      </c>
      <c r="H157" s="18" t="str">
        <f t="shared" si="14"/>
        <v/>
      </c>
      <c r="I157" s="18" t="str" cm="1">
        <f t="array" ref="I157">IF(A157="","",INDEX(Parameters!$B$5:$B$104,A157))</f>
        <v/>
      </c>
      <c r="J157"/>
    </row>
    <row r="158" spans="1:10" x14ac:dyDescent="0.25">
      <c r="A158" s="17" t="str">
        <f>IF(ROW()-3&lt;=Parameters!$N$7,INT((ROW()-4)/Parameters!$N$6)+1,"")</f>
        <v/>
      </c>
      <c r="B158" s="17" t="str">
        <f>IF(A158="","",MOD(ROW()-4,Parameters!$N$6)+1)</f>
        <v/>
      </c>
      <c r="C158" s="17" t="str">
        <f t="shared" si="15"/>
        <v/>
      </c>
      <c r="D158" s="14" t="str" cm="1">
        <f t="array" ref="D158">IF(B158="","",INDEX(Parameters!$L$5:$L$104,B158))</f>
        <v/>
      </c>
      <c r="E158" s="18" t="str" cm="1">
        <f t="array" ref="E158">IF(A158="","",INDEX(Parameters!$C$5:$C$104,A158))</f>
        <v/>
      </c>
      <c r="F158" s="18" t="str" cm="1">
        <f t="array" ref="F158">IF(A158="","",INDEX(Parameters!$G$5:$G$104,A158))</f>
        <v/>
      </c>
      <c r="G158" s="18" t="str">
        <f t="shared" si="13"/>
        <v/>
      </c>
      <c r="H158" s="18" t="str">
        <f t="shared" si="14"/>
        <v/>
      </c>
      <c r="I158" s="18" t="str" cm="1">
        <f t="array" ref="I158">IF(A158="","",INDEX(Parameters!$B$5:$B$104,A158))</f>
        <v/>
      </c>
      <c r="J158"/>
    </row>
    <row r="159" spans="1:10" x14ac:dyDescent="0.25">
      <c r="A159" s="17" t="str">
        <f>IF(ROW()-3&lt;=Parameters!$N$7,INT((ROW()-4)/Parameters!$N$6)+1,"")</f>
        <v/>
      </c>
      <c r="B159" s="17" t="str">
        <f>IF(A159="","",MOD(ROW()-4,Parameters!$N$6)+1)</f>
        <v/>
      </c>
      <c r="C159" s="17" t="str">
        <f t="shared" si="15"/>
        <v/>
      </c>
      <c r="D159" s="14" t="str" cm="1">
        <f t="array" ref="D159">IF(B159="","",INDEX(Parameters!$L$5:$L$104,B159))</f>
        <v/>
      </c>
      <c r="E159" s="18" t="str" cm="1">
        <f t="array" ref="E159">IF(A159="","",INDEX(Parameters!$C$5:$C$104,A159))</f>
        <v/>
      </c>
      <c r="F159" s="18" t="str" cm="1">
        <f t="array" ref="F159">IF(A159="","",INDEX(Parameters!$G$5:$G$104,A159))</f>
        <v/>
      </c>
      <c r="G159" s="18" t="str">
        <f t="shared" si="13"/>
        <v/>
      </c>
      <c r="H159" s="18" t="str">
        <f t="shared" si="14"/>
        <v/>
      </c>
      <c r="I159" s="18" t="str" cm="1">
        <f t="array" ref="I159">IF(A159="","",INDEX(Parameters!$B$5:$B$104,A159))</f>
        <v/>
      </c>
      <c r="J159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4.7109375" style="4" customWidth="1"/>
    <col min="2" max="2" width="18.7109375" style="4" customWidth="1"/>
    <col min="3" max="3" width="38.7109375" style="4" customWidth="1"/>
    <col min="4" max="4" width="16.7109375" style="4" customWidth="1"/>
    <col min="5" max="5" width="14.7109375" style="4" customWidth="1"/>
    <col min="6" max="6" width="56.7109375" style="4" customWidth="1"/>
  </cols>
  <sheetData>
    <row r="1" spans="1:6" ht="27.95" customHeight="1" x14ac:dyDescent="0.35">
      <c r="A1" s="10" t="s">
        <v>57</v>
      </c>
      <c r="B1" s="10"/>
      <c r="C1" s="10"/>
      <c r="D1" s="10"/>
      <c r="E1" s="10"/>
      <c r="F1" s="10"/>
    </row>
    <row r="3" spans="1:6" x14ac:dyDescent="0.25">
      <c r="A3" s="4" t="s">
        <v>52</v>
      </c>
      <c r="B3" s="4" t="s">
        <v>48</v>
      </c>
      <c r="C3" s="4" t="s">
        <v>49</v>
      </c>
      <c r="D3" s="4" t="s">
        <v>46</v>
      </c>
      <c r="E3" s="4" t="s">
        <v>51</v>
      </c>
      <c r="F3" s="4" t="s">
        <v>50</v>
      </c>
    </row>
    <row r="4" spans="1:6" x14ac:dyDescent="0.25">
      <c r="A4" s="14" cm="1">
        <f t="array" ref="A4">IFERROR(INDEX('PEDESTALS (LookupTable)'!$A$4:$A$503,ROW()-3),"")</f>
        <v>1</v>
      </c>
      <c r="B4" s="14" t="str" cm="1">
        <f t="array" ref="B4">IFERROR(INDEX('PEDESTALS (LookupTable)'!$E$4:$E$503,ROW()-3),"")</f>
        <v>Rectangle</v>
      </c>
      <c r="C4" s="15" t="str" cm="1">
        <f t="array" ref="C4">IFERROR(INDEX('PEDESTALS (LookupTable)'!$G$4:$G$503,ROW()-3),"")</f>
        <v>STANDARD RECTANGLE_STANDARD</v>
      </c>
      <c r="D4" s="14" t="str" cm="1">
        <f t="array" ref="D4">IFERROR(INDEX('PEDESTALS (LookupTable)'!$C$4:$C$503,ROW()-3),"")</f>
        <v>1-1</v>
      </c>
      <c r="E4" s="19"/>
      <c r="F4" s="15" t="str" cm="1">
        <f t="array" ref="F4">IFERROR(INDEX('PEDESTALS (LookupTable)'!$H$4:$H$503,ROW()-3),"")</f>
        <v>8x8 PEDESTAL / Rectangle / Visibility: Standard</v>
      </c>
    </row>
    <row r="5" spans="1:6" x14ac:dyDescent="0.25">
      <c r="A5" s="14" cm="1">
        <f t="array" ref="A5">IFERROR(INDEX('PEDESTALS (LookupTable)'!$A$4:$A$503,ROW()-3),"")</f>
        <v>1</v>
      </c>
      <c r="B5" s="14" t="str" cm="1">
        <f t="array" ref="B5">IFERROR(INDEX('PEDESTALS (LookupTable)'!$E$4:$E$503,ROW()-3),"")</f>
        <v>Rectangle</v>
      </c>
      <c r="C5" s="15" t="str" cm="1">
        <f t="array" ref="C5">IFERROR(INDEX('PEDESTALS (LookupTable)'!$G$4:$G$503,ROW()-3),"")</f>
        <v>STANDARD RECTANGLE_WITH_LABEL</v>
      </c>
      <c r="D5" s="14" t="str" cm="1">
        <f t="array" ref="D5">IFERROR(INDEX('PEDESTALS (LookupTable)'!$C$4:$C$503,ROW()-3),"")</f>
        <v>1-2</v>
      </c>
      <c r="E5" s="19"/>
      <c r="F5" s="15" t="str" cm="1">
        <f t="array" ref="F5">IFERROR(INDEX('PEDESTALS (LookupTable)'!$H$4:$H$503,ROW()-3),"")</f>
        <v>8x8 PEDESTAL / Rectangle / Visibility: With Label</v>
      </c>
    </row>
    <row r="6" spans="1:6" x14ac:dyDescent="0.25">
      <c r="A6" s="14" cm="1">
        <f t="array" ref="A6">IFERROR(INDEX('PEDESTALS (LookupTable)'!$A$4:$A$503,ROW()-3),"")</f>
        <v>1</v>
      </c>
      <c r="B6" s="14" t="str" cm="1">
        <f t="array" ref="B6">IFERROR(INDEX('PEDESTALS (LookupTable)'!$E$4:$E$503,ROW()-3),"")</f>
        <v>Rectangle</v>
      </c>
      <c r="C6" s="15" t="str" cm="1">
        <f t="array" ref="C6">IFERROR(INDEX('PEDESTALS (LookupTable)'!$G$4:$G$503,ROW()-3),"")</f>
        <v>STANDARD RECTANGLE_WITH_CALLOUT</v>
      </c>
      <c r="D6" s="14" t="str" cm="1">
        <f t="array" ref="D6">IFERROR(INDEX('PEDESTALS (LookupTable)'!$C$4:$C$503,ROW()-3),"")</f>
        <v>1-3</v>
      </c>
      <c r="E6" s="19"/>
      <c r="F6" s="15" t="str" cm="1">
        <f t="array" ref="F6">IFERROR(INDEX('PEDESTALS (LookupTable)'!$H$4:$H$503,ROW()-3),"")</f>
        <v>8x8 PEDESTAL / Rectangle / Visibility: With Callout</v>
      </c>
    </row>
    <row r="7" spans="1:6" x14ac:dyDescent="0.25">
      <c r="A7" s="14" cm="1">
        <f t="array" ref="A7">IFERROR(INDEX('PEDESTALS (LookupTable)'!$A$4:$A$503,ROW()-3),"")</f>
        <v>1</v>
      </c>
      <c r="B7" s="14" t="str" cm="1">
        <f t="array" ref="B7">IFERROR(INDEX('PEDESTALS (LookupTable)'!$E$4:$E$503,ROW()-3),"")</f>
        <v>Rectangle</v>
      </c>
      <c r="C7" s="15" t="str" cm="1">
        <f t="array" ref="C7">IFERROR(INDEX('PEDESTALS (LookupTable)'!$G$4:$G$503,ROW()-3),"")</f>
        <v>STANDARD RECTANGLE_EXISTING</v>
      </c>
      <c r="D7" s="14" t="str" cm="1">
        <f t="array" ref="D7">IFERROR(INDEX('PEDESTALS (LookupTable)'!$C$4:$C$503,ROW()-3),"")</f>
        <v>1-4</v>
      </c>
      <c r="E7" s="19"/>
      <c r="F7" s="15" t="str" cm="1">
        <f t="array" ref="F7">IFERROR(INDEX('PEDESTALS (LookupTable)'!$H$4:$H$503,ROW()-3),"")</f>
        <v>8x8 PEDESTAL / Rectangle / Visibility: Existing</v>
      </c>
    </row>
    <row r="8" spans="1:6" x14ac:dyDescent="0.25">
      <c r="A8" s="14" cm="1">
        <f t="array" ref="A8">IFERROR(INDEX('PEDESTALS (LookupTable)'!$A$4:$A$503,ROW()-3),"")</f>
        <v>1</v>
      </c>
      <c r="B8" s="14" t="str" cm="1">
        <f t="array" ref="B8">IFERROR(INDEX('PEDESTALS (LookupTable)'!$E$4:$E$503,ROW()-3),"")</f>
        <v>Rectangle</v>
      </c>
      <c r="C8" s="15" t="str" cm="1">
        <f t="array" ref="C8">IFERROR(INDEX('PEDESTALS (LookupTable)'!$G$4:$G$503,ROW()-3),"")</f>
        <v>STANDARD RECTANGLE_PROPOSED</v>
      </c>
      <c r="D8" s="14" t="str" cm="1">
        <f t="array" ref="D8">IFERROR(INDEX('PEDESTALS (LookupTable)'!$C$4:$C$503,ROW()-3),"")</f>
        <v>1-5</v>
      </c>
      <c r="E8" s="19"/>
      <c r="F8" s="15" t="str" cm="1">
        <f t="array" ref="F8">IFERROR(INDEX('PEDESTALS (LookupTable)'!$H$4:$H$503,ROW()-3),"")</f>
        <v>8x8 PEDESTAL / Rectangle / Visibility: Proposed</v>
      </c>
    </row>
    <row r="9" spans="1:6" x14ac:dyDescent="0.25">
      <c r="A9" s="14" cm="1">
        <f t="array" ref="A9">IFERROR(INDEX('PEDESTALS (LookupTable)'!$A$4:$A$503,ROW()-3),"")</f>
        <v>2</v>
      </c>
      <c r="B9" s="14" t="str" cm="1">
        <f t="array" ref="B9">IFERROR(INDEX('PEDESTALS (LookupTable)'!$E$4:$E$503,ROW()-3),"")</f>
        <v>Rectangle</v>
      </c>
      <c r="C9" s="15" t="str" cm="1">
        <f t="array" ref="C9">IFERROR(INDEX('PEDESTALS (LookupTable)'!$G$4:$G$503,ROW()-3),"")</f>
        <v>STANDARD RECTANGLE_STANDARD</v>
      </c>
      <c r="D9" s="14" t="str" cm="1">
        <f t="array" ref="D9">IFERROR(INDEX('PEDESTALS (LookupTable)'!$C$4:$C$503,ROW()-3),"")</f>
        <v>2-1</v>
      </c>
      <c r="E9" s="19"/>
      <c r="F9" s="15" t="str" cm="1">
        <f t="array" ref="F9">IFERROR(INDEX('PEDESTALS (LookupTable)'!$H$4:$H$503,ROW()-3),"")</f>
        <v>12x12 PEDESTAL / Rectangle / Visibility: Standard</v>
      </c>
    </row>
    <row r="10" spans="1:6" x14ac:dyDescent="0.25">
      <c r="A10" s="14" cm="1">
        <f t="array" ref="A10">IFERROR(INDEX('PEDESTALS (LookupTable)'!$A$4:$A$503,ROW()-3),"")</f>
        <v>2</v>
      </c>
      <c r="B10" s="14" t="str" cm="1">
        <f t="array" ref="B10">IFERROR(INDEX('PEDESTALS (LookupTable)'!$E$4:$E$503,ROW()-3),"")</f>
        <v>Rectangle</v>
      </c>
      <c r="C10" s="15" t="str" cm="1">
        <f t="array" ref="C10">IFERROR(INDEX('PEDESTALS (LookupTable)'!$G$4:$G$503,ROW()-3),"")</f>
        <v>STANDARD RECTANGLE_WITH_LABEL</v>
      </c>
      <c r="D10" s="14" t="str" cm="1">
        <f t="array" ref="D10">IFERROR(INDEX('PEDESTALS (LookupTable)'!$C$4:$C$503,ROW()-3),"")</f>
        <v>2-2</v>
      </c>
      <c r="E10" s="19"/>
      <c r="F10" s="15" t="str" cm="1">
        <f t="array" ref="F10">IFERROR(INDEX('PEDESTALS (LookupTable)'!$H$4:$H$503,ROW()-3),"")</f>
        <v>12x12 PEDESTAL / Rectangle / Visibility: With Label</v>
      </c>
    </row>
    <row r="11" spans="1:6" x14ac:dyDescent="0.25">
      <c r="A11" s="14" cm="1">
        <f t="array" ref="A11">IFERROR(INDEX('PEDESTALS (LookupTable)'!$A$4:$A$503,ROW()-3),"")</f>
        <v>2</v>
      </c>
      <c r="B11" s="14" t="str" cm="1">
        <f t="array" ref="B11">IFERROR(INDEX('PEDESTALS (LookupTable)'!$E$4:$E$503,ROW()-3),"")</f>
        <v>Rectangle</v>
      </c>
      <c r="C11" s="15" t="str" cm="1">
        <f t="array" ref="C11">IFERROR(INDEX('PEDESTALS (LookupTable)'!$G$4:$G$503,ROW()-3),"")</f>
        <v>STANDARD RECTANGLE_WITH_CALLOUT</v>
      </c>
      <c r="D11" s="14" t="str" cm="1">
        <f t="array" ref="D11">IFERROR(INDEX('PEDESTALS (LookupTable)'!$C$4:$C$503,ROW()-3),"")</f>
        <v>2-3</v>
      </c>
      <c r="E11" s="19"/>
      <c r="F11" s="15" t="str" cm="1">
        <f t="array" ref="F11">IFERROR(INDEX('PEDESTALS (LookupTable)'!$H$4:$H$503,ROW()-3),"")</f>
        <v>12x12 PEDESTAL / Rectangle / Visibility: With Callout</v>
      </c>
    </row>
    <row r="12" spans="1:6" x14ac:dyDescent="0.25">
      <c r="A12" s="14" cm="1">
        <f t="array" ref="A12">IFERROR(INDEX('PEDESTALS (LookupTable)'!$A$4:$A$503,ROW()-3),"")</f>
        <v>2</v>
      </c>
      <c r="B12" s="14" t="str" cm="1">
        <f t="array" ref="B12">IFERROR(INDEX('PEDESTALS (LookupTable)'!$E$4:$E$503,ROW()-3),"")</f>
        <v>Rectangle</v>
      </c>
      <c r="C12" s="15" t="str" cm="1">
        <f t="array" ref="C12">IFERROR(INDEX('PEDESTALS (LookupTable)'!$G$4:$G$503,ROW()-3),"")</f>
        <v>STANDARD RECTANGLE_EXISTING</v>
      </c>
      <c r="D12" s="14" t="str" cm="1">
        <f t="array" ref="D12">IFERROR(INDEX('PEDESTALS (LookupTable)'!$C$4:$C$503,ROW()-3),"")</f>
        <v>2-4</v>
      </c>
      <c r="E12" s="19"/>
      <c r="F12" s="15" t="str" cm="1">
        <f t="array" ref="F12">IFERROR(INDEX('PEDESTALS (LookupTable)'!$H$4:$H$503,ROW()-3),"")</f>
        <v>12x12 PEDESTAL / Rectangle / Visibility: Existing</v>
      </c>
    </row>
    <row r="13" spans="1:6" x14ac:dyDescent="0.25">
      <c r="A13" s="14" cm="1">
        <f t="array" ref="A13">IFERROR(INDEX('PEDESTALS (LookupTable)'!$A$4:$A$503,ROW()-3),"")</f>
        <v>2</v>
      </c>
      <c r="B13" s="14" t="str" cm="1">
        <f t="array" ref="B13">IFERROR(INDEX('PEDESTALS (LookupTable)'!$E$4:$E$503,ROW()-3),"")</f>
        <v>Rectangle</v>
      </c>
      <c r="C13" s="15" t="str" cm="1">
        <f t="array" ref="C13">IFERROR(INDEX('PEDESTALS (LookupTable)'!$G$4:$G$503,ROW()-3),"")</f>
        <v>STANDARD RECTANGLE_PROPOSED</v>
      </c>
      <c r="D13" s="14" t="str" cm="1">
        <f t="array" ref="D13">IFERROR(INDEX('PEDESTALS (LookupTable)'!$C$4:$C$503,ROW()-3),"")</f>
        <v>2-5</v>
      </c>
      <c r="E13" s="19"/>
      <c r="F13" s="15" t="str" cm="1">
        <f t="array" ref="F13">IFERROR(INDEX('PEDESTALS (LookupTable)'!$H$4:$H$503,ROW()-3),"")</f>
        <v>12x12 PEDESTAL / Rectangle / Visibility: Proposed</v>
      </c>
    </row>
    <row r="14" spans="1:6" x14ac:dyDescent="0.25">
      <c r="A14" s="14" cm="1">
        <f t="array" ref="A14">IFERROR(INDEX('PEDESTALS (LookupTable)'!$A$4:$A$503,ROW()-3),"")</f>
        <v>3</v>
      </c>
      <c r="B14" s="14" t="str" cm="1">
        <f t="array" ref="B14">IFERROR(INDEX('PEDESTALS (LookupTable)'!$E$4:$E$503,ROW()-3),"")</f>
        <v>Rectangle</v>
      </c>
      <c r="C14" s="15" t="str" cm="1">
        <f t="array" ref="C14">IFERROR(INDEX('PEDESTALS (LookupTable)'!$G$4:$G$503,ROW()-3),"")</f>
        <v>STANDARD RECTANGLE_STANDARD</v>
      </c>
      <c r="D14" s="14" t="str" cm="1">
        <f t="array" ref="D14">IFERROR(INDEX('PEDESTALS (LookupTable)'!$C$4:$C$503,ROW()-3),"")</f>
        <v>3-1</v>
      </c>
      <c r="E14" s="19"/>
      <c r="F14" s="15" t="str" cm="1">
        <f t="array" ref="F14">IFERROR(INDEX('PEDESTALS (LookupTable)'!$H$4:$H$503,ROW()-3),"")</f>
        <v>12x24 PEDESTAL / Rectangle / Visibility: Standard</v>
      </c>
    </row>
    <row r="15" spans="1:6" x14ac:dyDescent="0.25">
      <c r="A15" s="14" cm="1">
        <f t="array" ref="A15">IFERROR(INDEX('PEDESTALS (LookupTable)'!$A$4:$A$503,ROW()-3),"")</f>
        <v>3</v>
      </c>
      <c r="B15" s="14" t="str" cm="1">
        <f t="array" ref="B15">IFERROR(INDEX('PEDESTALS (LookupTable)'!$E$4:$E$503,ROW()-3),"")</f>
        <v>Rectangle</v>
      </c>
      <c r="C15" s="15" t="str" cm="1">
        <f t="array" ref="C15">IFERROR(INDEX('PEDESTALS (LookupTable)'!$G$4:$G$503,ROW()-3),"")</f>
        <v>STANDARD RECTANGLE_WITH_LABEL</v>
      </c>
      <c r="D15" s="14" t="str" cm="1">
        <f t="array" ref="D15">IFERROR(INDEX('PEDESTALS (LookupTable)'!$C$4:$C$503,ROW()-3),"")</f>
        <v>3-2</v>
      </c>
      <c r="E15" s="19"/>
      <c r="F15" s="15" t="str" cm="1">
        <f t="array" ref="F15">IFERROR(INDEX('PEDESTALS (LookupTable)'!$H$4:$H$503,ROW()-3),"")</f>
        <v>12x24 PEDESTAL / Rectangle / Visibility: With Label</v>
      </c>
    </row>
    <row r="16" spans="1:6" x14ac:dyDescent="0.25">
      <c r="A16" s="14" cm="1">
        <f t="array" ref="A16">IFERROR(INDEX('PEDESTALS (LookupTable)'!$A$4:$A$503,ROW()-3),"")</f>
        <v>3</v>
      </c>
      <c r="B16" s="14" t="str" cm="1">
        <f t="array" ref="B16">IFERROR(INDEX('PEDESTALS (LookupTable)'!$E$4:$E$503,ROW()-3),"")</f>
        <v>Rectangle</v>
      </c>
      <c r="C16" s="15" t="str" cm="1">
        <f t="array" ref="C16">IFERROR(INDEX('PEDESTALS (LookupTable)'!$G$4:$G$503,ROW()-3),"")</f>
        <v>STANDARD RECTANGLE_WITH_CALLOUT</v>
      </c>
      <c r="D16" s="14" t="str" cm="1">
        <f t="array" ref="D16">IFERROR(INDEX('PEDESTALS (LookupTable)'!$C$4:$C$503,ROW()-3),"")</f>
        <v>3-3</v>
      </c>
      <c r="E16" s="19"/>
      <c r="F16" s="15" t="str" cm="1">
        <f t="array" ref="F16">IFERROR(INDEX('PEDESTALS (LookupTable)'!$H$4:$H$503,ROW()-3),"")</f>
        <v>12x24 PEDESTAL / Rectangle / Visibility: With Callout</v>
      </c>
    </row>
    <row r="17" spans="1:6" x14ac:dyDescent="0.25">
      <c r="A17" s="14" cm="1">
        <f t="array" ref="A17">IFERROR(INDEX('PEDESTALS (LookupTable)'!$A$4:$A$503,ROW()-3),"")</f>
        <v>3</v>
      </c>
      <c r="B17" s="14" t="str" cm="1">
        <f t="array" ref="B17">IFERROR(INDEX('PEDESTALS (LookupTable)'!$E$4:$E$503,ROW()-3),"")</f>
        <v>Rectangle</v>
      </c>
      <c r="C17" s="15" t="str" cm="1">
        <f t="array" ref="C17">IFERROR(INDEX('PEDESTALS (LookupTable)'!$G$4:$G$503,ROW()-3),"")</f>
        <v>STANDARD RECTANGLE_EXISTING</v>
      </c>
      <c r="D17" s="14" t="str" cm="1">
        <f t="array" ref="D17">IFERROR(INDEX('PEDESTALS (LookupTable)'!$C$4:$C$503,ROW()-3),"")</f>
        <v>3-4</v>
      </c>
      <c r="E17" s="19"/>
      <c r="F17" s="15" t="str" cm="1">
        <f t="array" ref="F17">IFERROR(INDEX('PEDESTALS (LookupTable)'!$H$4:$H$503,ROW()-3),"")</f>
        <v>12x24 PEDESTAL / Rectangle / Visibility: Existing</v>
      </c>
    </row>
    <row r="18" spans="1:6" x14ac:dyDescent="0.25">
      <c r="A18" s="14" cm="1">
        <f t="array" ref="A18">IFERROR(INDEX('PEDESTALS (LookupTable)'!$A$4:$A$503,ROW()-3),"")</f>
        <v>3</v>
      </c>
      <c r="B18" s="14" t="str" cm="1">
        <f t="array" ref="B18">IFERROR(INDEX('PEDESTALS (LookupTable)'!$E$4:$E$503,ROW()-3),"")</f>
        <v>Rectangle</v>
      </c>
      <c r="C18" s="15" t="str" cm="1">
        <f t="array" ref="C18">IFERROR(INDEX('PEDESTALS (LookupTable)'!$G$4:$G$503,ROW()-3),"")</f>
        <v>STANDARD RECTANGLE_PROPOSED</v>
      </c>
      <c r="D18" s="14" t="str" cm="1">
        <f t="array" ref="D18">IFERROR(INDEX('PEDESTALS (LookupTable)'!$C$4:$C$503,ROW()-3),"")</f>
        <v>3-5</v>
      </c>
      <c r="E18" s="19"/>
      <c r="F18" s="15" t="str" cm="1">
        <f t="array" ref="F18">IFERROR(INDEX('PEDESTALS (LookupTable)'!$H$4:$H$503,ROW()-3),"")</f>
        <v>12x24 PEDESTAL / Rectangle / Visibility: Proposed</v>
      </c>
    </row>
    <row r="19" spans="1:6" x14ac:dyDescent="0.25">
      <c r="A19" s="14" cm="1">
        <f t="array" ref="A19">IFERROR(INDEX('PEDESTALS (LookupTable)'!$A$4:$A$503,ROW()-3),"")</f>
        <v>4</v>
      </c>
      <c r="B19" s="14" t="str" cm="1">
        <f t="array" ref="B19">IFERROR(INDEX('PEDESTALS (LookupTable)'!$E$4:$E$503,ROW()-3),"")</f>
        <v>Rectangle</v>
      </c>
      <c r="C19" s="15" t="str" cm="1">
        <f t="array" ref="C19">IFERROR(INDEX('PEDESTALS (LookupTable)'!$G$4:$G$503,ROW()-3),"")</f>
        <v>STANDARD RECTANGLE_STANDARD</v>
      </c>
      <c r="D19" s="14" t="str" cm="1">
        <f t="array" ref="D19">IFERROR(INDEX('PEDESTALS (LookupTable)'!$C$4:$C$503,ROW()-3),"")</f>
        <v>4-1</v>
      </c>
      <c r="E19" s="19"/>
      <c r="F19" s="15" t="str" cm="1">
        <f t="array" ref="F19">IFERROR(INDEX('PEDESTALS (LookupTable)'!$H$4:$H$503,ROW()-3),"")</f>
        <v>6x6 PEDESTAL / Rectangle / Visibility: Standard</v>
      </c>
    </row>
    <row r="20" spans="1:6" x14ac:dyDescent="0.25">
      <c r="A20" s="14" cm="1">
        <f t="array" ref="A20">IFERROR(INDEX('PEDESTALS (LookupTable)'!$A$4:$A$503,ROW()-3),"")</f>
        <v>4</v>
      </c>
      <c r="B20" s="14" t="str" cm="1">
        <f t="array" ref="B20">IFERROR(INDEX('PEDESTALS (LookupTable)'!$E$4:$E$503,ROW()-3),"")</f>
        <v>Rectangle</v>
      </c>
      <c r="C20" s="15" t="str" cm="1">
        <f t="array" ref="C20">IFERROR(INDEX('PEDESTALS (LookupTable)'!$G$4:$G$503,ROW()-3),"")</f>
        <v>STANDARD RECTANGLE_WITH_LABEL</v>
      </c>
      <c r="D20" s="14" t="str" cm="1">
        <f t="array" ref="D20">IFERROR(INDEX('PEDESTALS (LookupTable)'!$C$4:$C$503,ROW()-3),"")</f>
        <v>4-2</v>
      </c>
      <c r="E20" s="19"/>
      <c r="F20" s="15" t="str" cm="1">
        <f t="array" ref="F20">IFERROR(INDEX('PEDESTALS (LookupTable)'!$H$4:$H$503,ROW()-3),"")</f>
        <v>6x6 PEDESTAL / Rectangle / Visibility: With Label</v>
      </c>
    </row>
    <row r="21" spans="1:6" x14ac:dyDescent="0.25">
      <c r="A21" s="14" cm="1">
        <f t="array" ref="A21">IFERROR(INDEX('PEDESTALS (LookupTable)'!$A$4:$A$503,ROW()-3),"")</f>
        <v>4</v>
      </c>
      <c r="B21" s="14" t="str" cm="1">
        <f t="array" ref="B21">IFERROR(INDEX('PEDESTALS (LookupTable)'!$E$4:$E$503,ROW()-3),"")</f>
        <v>Rectangle</v>
      </c>
      <c r="C21" s="15" t="str" cm="1">
        <f t="array" ref="C21">IFERROR(INDEX('PEDESTALS (LookupTable)'!$G$4:$G$503,ROW()-3),"")</f>
        <v>STANDARD RECTANGLE_WITH_CALLOUT</v>
      </c>
      <c r="D21" s="14" t="str" cm="1">
        <f t="array" ref="D21">IFERROR(INDEX('PEDESTALS (LookupTable)'!$C$4:$C$503,ROW()-3),"")</f>
        <v>4-3</v>
      </c>
      <c r="E21" s="19"/>
      <c r="F21" s="15" t="str" cm="1">
        <f t="array" ref="F21">IFERROR(INDEX('PEDESTALS (LookupTable)'!$H$4:$H$503,ROW()-3),"")</f>
        <v>6x6 PEDESTAL / Rectangle / Visibility: With Callout</v>
      </c>
    </row>
    <row r="22" spans="1:6" x14ac:dyDescent="0.25">
      <c r="A22" s="14" cm="1">
        <f t="array" ref="A22">IFERROR(INDEX('PEDESTALS (LookupTable)'!$A$4:$A$503,ROW()-3),"")</f>
        <v>4</v>
      </c>
      <c r="B22" s="14" t="str" cm="1">
        <f t="array" ref="B22">IFERROR(INDEX('PEDESTALS (LookupTable)'!$E$4:$E$503,ROW()-3),"")</f>
        <v>Rectangle</v>
      </c>
      <c r="C22" s="15" t="str" cm="1">
        <f t="array" ref="C22">IFERROR(INDEX('PEDESTALS (LookupTable)'!$G$4:$G$503,ROW()-3),"")</f>
        <v>STANDARD RECTANGLE_EXISTING</v>
      </c>
      <c r="D22" s="14" t="str" cm="1">
        <f t="array" ref="D22">IFERROR(INDEX('PEDESTALS (LookupTable)'!$C$4:$C$503,ROW()-3),"")</f>
        <v>4-4</v>
      </c>
      <c r="E22" s="19"/>
      <c r="F22" s="15" t="str" cm="1">
        <f t="array" ref="F22">IFERROR(INDEX('PEDESTALS (LookupTable)'!$H$4:$H$503,ROW()-3),"")</f>
        <v>6x6 PEDESTAL / Rectangle / Visibility: Existing</v>
      </c>
    </row>
    <row r="23" spans="1:6" x14ac:dyDescent="0.25">
      <c r="A23" s="14" cm="1">
        <f t="array" ref="A23">IFERROR(INDEX('PEDESTALS (LookupTable)'!$A$4:$A$503,ROW()-3),"")</f>
        <v>4</v>
      </c>
      <c r="B23" s="14" t="str" cm="1">
        <f t="array" ref="B23">IFERROR(INDEX('PEDESTALS (LookupTable)'!$E$4:$E$503,ROW()-3),"")</f>
        <v>Rectangle</v>
      </c>
      <c r="C23" s="15" t="str" cm="1">
        <f t="array" ref="C23">IFERROR(INDEX('PEDESTALS (LookupTable)'!$G$4:$G$503,ROW()-3),"")</f>
        <v>STANDARD RECTANGLE_PROPOSED</v>
      </c>
      <c r="D23" s="14" t="str" cm="1">
        <f t="array" ref="D23">IFERROR(INDEX('PEDESTALS (LookupTable)'!$C$4:$C$503,ROW()-3),"")</f>
        <v>4-5</v>
      </c>
      <c r="E23" s="19"/>
      <c r="F23" s="15" t="str" cm="1">
        <f t="array" ref="F23">IFERROR(INDEX('PEDESTALS (LookupTable)'!$H$4:$H$503,ROW()-3),"")</f>
        <v>6x6 PEDESTAL / Rectangle / Visibility: Proposed</v>
      </c>
    </row>
    <row r="24" spans="1:6" x14ac:dyDescent="0.25">
      <c r="A24" s="14" cm="1">
        <f t="array" ref="A24">IFERROR(INDEX('PEDESTALS (LookupTable)'!$A$4:$A$503,ROW()-3),"")</f>
        <v>5</v>
      </c>
      <c r="B24" s="14" t="str" cm="1">
        <f t="array" ref="B24">IFERROR(INDEX('PEDESTALS (LookupTable)'!$E$4:$E$503,ROW()-3),"")</f>
        <v>Rectangle</v>
      </c>
      <c r="C24" s="15" t="str" cm="1">
        <f t="array" ref="C24">IFERROR(INDEX('PEDESTALS (LookupTable)'!$G$4:$G$503,ROW()-3),"")</f>
        <v>STANDARD RECTANGLE_STANDARD</v>
      </c>
      <c r="D24" s="14" t="str" cm="1">
        <f t="array" ref="D24">IFERROR(INDEX('PEDESTALS (LookupTable)'!$C$4:$C$503,ROW()-3),"")</f>
        <v>5-1</v>
      </c>
      <c r="E24" s="19"/>
      <c r="F24" s="15" t="str" cm="1">
        <f t="array" ref="F24">IFERROR(INDEX('PEDESTALS (LookupTable)'!$H$4:$H$503,ROW()-3),"")</f>
        <v>10x10 PEDESTAL / Rectangle / Visibility: Standard</v>
      </c>
    </row>
    <row r="25" spans="1:6" x14ac:dyDescent="0.25">
      <c r="A25" s="14" cm="1">
        <f t="array" ref="A25">IFERROR(INDEX('PEDESTALS (LookupTable)'!$A$4:$A$503,ROW()-3),"")</f>
        <v>5</v>
      </c>
      <c r="B25" s="14" t="str" cm="1">
        <f t="array" ref="B25">IFERROR(INDEX('PEDESTALS (LookupTable)'!$E$4:$E$503,ROW()-3),"")</f>
        <v>Rectangle</v>
      </c>
      <c r="C25" s="15" t="str" cm="1">
        <f t="array" ref="C25">IFERROR(INDEX('PEDESTALS (LookupTable)'!$G$4:$G$503,ROW()-3),"")</f>
        <v>STANDARD RECTANGLE_WITH_LABEL</v>
      </c>
      <c r="D25" s="14" t="str" cm="1">
        <f t="array" ref="D25">IFERROR(INDEX('PEDESTALS (LookupTable)'!$C$4:$C$503,ROW()-3),"")</f>
        <v>5-2</v>
      </c>
      <c r="E25" s="19"/>
      <c r="F25" s="15" t="str" cm="1">
        <f t="array" ref="F25">IFERROR(INDEX('PEDESTALS (LookupTable)'!$H$4:$H$503,ROW()-3),"")</f>
        <v>10x10 PEDESTAL / Rectangle / Visibility: With Label</v>
      </c>
    </row>
    <row r="26" spans="1:6" x14ac:dyDescent="0.25">
      <c r="A26" s="14" cm="1">
        <f t="array" ref="A26">IFERROR(INDEX('PEDESTALS (LookupTable)'!$A$4:$A$503,ROW()-3),"")</f>
        <v>5</v>
      </c>
      <c r="B26" s="14" t="str" cm="1">
        <f t="array" ref="B26">IFERROR(INDEX('PEDESTALS (LookupTable)'!$E$4:$E$503,ROW()-3),"")</f>
        <v>Rectangle</v>
      </c>
      <c r="C26" s="15" t="str" cm="1">
        <f t="array" ref="C26">IFERROR(INDEX('PEDESTALS (LookupTable)'!$G$4:$G$503,ROW()-3),"")</f>
        <v>STANDARD RECTANGLE_WITH_CALLOUT</v>
      </c>
      <c r="D26" s="14" t="str" cm="1">
        <f t="array" ref="D26">IFERROR(INDEX('PEDESTALS (LookupTable)'!$C$4:$C$503,ROW()-3),"")</f>
        <v>5-3</v>
      </c>
      <c r="E26" s="19"/>
      <c r="F26" s="15" t="str" cm="1">
        <f t="array" ref="F26">IFERROR(INDEX('PEDESTALS (LookupTable)'!$H$4:$H$503,ROW()-3),"")</f>
        <v>10x10 PEDESTAL / Rectangle / Visibility: With Callout</v>
      </c>
    </row>
    <row r="27" spans="1:6" x14ac:dyDescent="0.25">
      <c r="A27" s="14" cm="1">
        <f t="array" ref="A27">IFERROR(INDEX('PEDESTALS (LookupTable)'!$A$4:$A$503,ROW()-3),"")</f>
        <v>5</v>
      </c>
      <c r="B27" s="14" t="str" cm="1">
        <f t="array" ref="B27">IFERROR(INDEX('PEDESTALS (LookupTable)'!$E$4:$E$503,ROW()-3),"")</f>
        <v>Rectangle</v>
      </c>
      <c r="C27" s="15" t="str" cm="1">
        <f t="array" ref="C27">IFERROR(INDEX('PEDESTALS (LookupTable)'!$G$4:$G$503,ROW()-3),"")</f>
        <v>STANDARD RECTANGLE_EXISTING</v>
      </c>
      <c r="D27" s="14" t="str" cm="1">
        <f t="array" ref="D27">IFERROR(INDEX('PEDESTALS (LookupTable)'!$C$4:$C$503,ROW()-3),"")</f>
        <v>5-4</v>
      </c>
      <c r="E27" s="19"/>
      <c r="F27" s="15" t="str" cm="1">
        <f t="array" ref="F27">IFERROR(INDEX('PEDESTALS (LookupTable)'!$H$4:$H$503,ROW()-3),"")</f>
        <v>10x10 PEDESTAL / Rectangle / Visibility: Existing</v>
      </c>
    </row>
    <row r="28" spans="1:6" x14ac:dyDescent="0.25">
      <c r="A28" s="14" cm="1">
        <f t="array" ref="A28">IFERROR(INDEX('PEDESTALS (LookupTable)'!$A$4:$A$503,ROW()-3),"")</f>
        <v>5</v>
      </c>
      <c r="B28" s="14" t="str" cm="1">
        <f t="array" ref="B28">IFERROR(INDEX('PEDESTALS (LookupTable)'!$E$4:$E$503,ROW()-3),"")</f>
        <v>Rectangle</v>
      </c>
      <c r="C28" s="15" t="str" cm="1">
        <f t="array" ref="C28">IFERROR(INDEX('PEDESTALS (LookupTable)'!$G$4:$G$503,ROW()-3),"")</f>
        <v>STANDARD RECTANGLE_PROPOSED</v>
      </c>
      <c r="D28" s="14" t="str" cm="1">
        <f t="array" ref="D28">IFERROR(INDEX('PEDESTALS (LookupTable)'!$C$4:$C$503,ROW()-3),"")</f>
        <v>5-5</v>
      </c>
      <c r="E28" s="19"/>
      <c r="F28" s="15" t="str" cm="1">
        <f t="array" ref="F28">IFERROR(INDEX('PEDESTALS (LookupTable)'!$H$4:$H$503,ROW()-3),"")</f>
        <v>10x10 PEDESTAL / Rectangle / Visibility: Proposed</v>
      </c>
    </row>
    <row r="29" spans="1:6" x14ac:dyDescent="0.25">
      <c r="A29" s="14" cm="1">
        <f t="array" ref="A29">IFERROR(INDEX('PEDESTALS (LookupTable)'!$A$4:$A$503,ROW()-3),"")</f>
        <v>6</v>
      </c>
      <c r="B29" s="14" t="str" cm="1">
        <f t="array" ref="B29">IFERROR(INDEX('PEDESTALS (LookupTable)'!$E$4:$E$503,ROW()-3),"")</f>
        <v>Rectangle</v>
      </c>
      <c r="C29" s="15" t="str" cm="1">
        <f t="array" ref="C29">IFERROR(INDEX('PEDESTALS (LookupTable)'!$G$4:$G$503,ROW()-3),"")</f>
        <v>STANDARD RECTANGLE_STANDARD</v>
      </c>
      <c r="D29" s="14" t="str" cm="1">
        <f t="array" ref="D29">IFERROR(INDEX('PEDESTALS (LookupTable)'!$C$4:$C$503,ROW()-3),"")</f>
        <v>6-1</v>
      </c>
      <c r="E29" s="19"/>
      <c r="F29" s="15" t="str" cm="1">
        <f t="array" ref="F29">IFERROR(INDEX('PEDESTALS (LookupTable)'!$H$4:$H$503,ROW()-3),"")</f>
        <v>12x18 PEDESTAL / Rectangle / Visibility: Standard</v>
      </c>
    </row>
    <row r="30" spans="1:6" x14ac:dyDescent="0.25">
      <c r="A30" s="14" cm="1">
        <f t="array" ref="A30">IFERROR(INDEX('PEDESTALS (LookupTable)'!$A$4:$A$503,ROW()-3),"")</f>
        <v>6</v>
      </c>
      <c r="B30" s="14" t="str" cm="1">
        <f t="array" ref="B30">IFERROR(INDEX('PEDESTALS (LookupTable)'!$E$4:$E$503,ROW()-3),"")</f>
        <v>Rectangle</v>
      </c>
      <c r="C30" s="15" t="str" cm="1">
        <f t="array" ref="C30">IFERROR(INDEX('PEDESTALS (LookupTable)'!$G$4:$G$503,ROW()-3),"")</f>
        <v>STANDARD RECTANGLE_WITH_LABEL</v>
      </c>
      <c r="D30" s="14" t="str" cm="1">
        <f t="array" ref="D30">IFERROR(INDEX('PEDESTALS (LookupTable)'!$C$4:$C$503,ROW()-3),"")</f>
        <v>6-2</v>
      </c>
      <c r="E30" s="19"/>
      <c r="F30" s="15" t="str" cm="1">
        <f t="array" ref="F30">IFERROR(INDEX('PEDESTALS (LookupTable)'!$H$4:$H$503,ROW()-3),"")</f>
        <v>12x18 PEDESTAL / Rectangle / Visibility: With Label</v>
      </c>
    </row>
    <row r="31" spans="1:6" x14ac:dyDescent="0.25">
      <c r="A31" s="14" cm="1">
        <f t="array" ref="A31">IFERROR(INDEX('PEDESTALS (LookupTable)'!$A$4:$A$503,ROW()-3),"")</f>
        <v>6</v>
      </c>
      <c r="B31" s="14" t="str" cm="1">
        <f t="array" ref="B31">IFERROR(INDEX('PEDESTALS (LookupTable)'!$E$4:$E$503,ROW()-3),"")</f>
        <v>Rectangle</v>
      </c>
      <c r="C31" s="15" t="str" cm="1">
        <f t="array" ref="C31">IFERROR(INDEX('PEDESTALS (LookupTable)'!$G$4:$G$503,ROW()-3),"")</f>
        <v>STANDARD RECTANGLE_WITH_CALLOUT</v>
      </c>
      <c r="D31" s="14" t="str" cm="1">
        <f t="array" ref="D31">IFERROR(INDEX('PEDESTALS (LookupTable)'!$C$4:$C$503,ROW()-3),"")</f>
        <v>6-3</v>
      </c>
      <c r="E31" s="19"/>
      <c r="F31" s="15" t="str" cm="1">
        <f t="array" ref="F31">IFERROR(INDEX('PEDESTALS (LookupTable)'!$H$4:$H$503,ROW()-3),"")</f>
        <v>12x18 PEDESTAL / Rectangle / Visibility: With Callout</v>
      </c>
    </row>
    <row r="32" spans="1:6" x14ac:dyDescent="0.25">
      <c r="A32" s="14" cm="1">
        <f t="array" ref="A32">IFERROR(INDEX('PEDESTALS (LookupTable)'!$A$4:$A$503,ROW()-3),"")</f>
        <v>6</v>
      </c>
      <c r="B32" s="14" t="str" cm="1">
        <f t="array" ref="B32">IFERROR(INDEX('PEDESTALS (LookupTable)'!$E$4:$E$503,ROW()-3),"")</f>
        <v>Rectangle</v>
      </c>
      <c r="C32" s="15" t="str" cm="1">
        <f t="array" ref="C32">IFERROR(INDEX('PEDESTALS (LookupTable)'!$G$4:$G$503,ROW()-3),"")</f>
        <v>STANDARD RECTANGLE_EXISTING</v>
      </c>
      <c r="D32" s="14" t="str" cm="1">
        <f t="array" ref="D32">IFERROR(INDEX('PEDESTALS (LookupTable)'!$C$4:$C$503,ROW()-3),"")</f>
        <v>6-4</v>
      </c>
      <c r="E32" s="19"/>
      <c r="F32" s="15" t="str" cm="1">
        <f t="array" ref="F32">IFERROR(INDEX('PEDESTALS (LookupTable)'!$H$4:$H$503,ROW()-3),"")</f>
        <v>12x18 PEDESTAL / Rectangle / Visibility: Existing</v>
      </c>
    </row>
    <row r="33" spans="1:6" x14ac:dyDescent="0.25">
      <c r="A33" s="14" cm="1">
        <f t="array" ref="A33">IFERROR(INDEX('PEDESTALS (LookupTable)'!$A$4:$A$503,ROW()-3),"")</f>
        <v>6</v>
      </c>
      <c r="B33" s="14" t="str" cm="1">
        <f t="array" ref="B33">IFERROR(INDEX('PEDESTALS (LookupTable)'!$E$4:$E$503,ROW()-3),"")</f>
        <v>Rectangle</v>
      </c>
      <c r="C33" s="15" t="str" cm="1">
        <f t="array" ref="C33">IFERROR(INDEX('PEDESTALS (LookupTable)'!$G$4:$G$503,ROW()-3),"")</f>
        <v>STANDARD RECTANGLE_PROPOSED</v>
      </c>
      <c r="D33" s="14" t="str" cm="1">
        <f t="array" ref="D33">IFERROR(INDEX('PEDESTALS (LookupTable)'!$C$4:$C$503,ROW()-3),"")</f>
        <v>6-5</v>
      </c>
      <c r="E33" s="19"/>
      <c r="F33" s="15" t="str" cm="1">
        <f t="array" ref="F33">IFERROR(INDEX('PEDESTALS (LookupTable)'!$H$4:$H$503,ROW()-3),"")</f>
        <v>12x18 PEDESTAL / Rectangle / Visibility: Proposed</v>
      </c>
    </row>
    <row r="34" spans="1:6" x14ac:dyDescent="0.25">
      <c r="A34" s="14" cm="1">
        <f t="array" ref="A34">IFERROR(INDEX('PEDESTALS (LookupTable)'!$A$4:$A$503,ROW()-3),"")</f>
        <v>7</v>
      </c>
      <c r="B34" s="14" t="str" cm="1">
        <f t="array" ref="B34">IFERROR(INDEX('PEDESTALS (LookupTable)'!$E$4:$E$503,ROW()-3),"")</f>
        <v>Circle</v>
      </c>
      <c r="C34" s="15" t="str" cm="1">
        <f t="array" ref="C34">IFERROR(INDEX('PEDESTALS (LookupTable)'!$G$4:$G$503,ROW()-3),"")</f>
        <v>ROUND_STANDARD</v>
      </c>
      <c r="D34" s="14" t="str" cm="1">
        <f t="array" ref="D34">IFERROR(INDEX('PEDESTALS (LookupTable)'!$C$4:$C$503,ROW()-3),"")</f>
        <v>7-1</v>
      </c>
      <c r="E34" s="19"/>
      <c r="F34" s="15" t="str" cm="1">
        <f t="array" ref="F34">IFERROR(INDEX('PEDESTALS (LookupTable)'!$H$4:$H$503,ROW()-3),"")</f>
        <v>9.5 DIA PEDESTAL / Circle / Visibility: Standard</v>
      </c>
    </row>
    <row r="35" spans="1:6" x14ac:dyDescent="0.25">
      <c r="A35" s="14" cm="1">
        <f t="array" ref="A35">IFERROR(INDEX('PEDESTALS (LookupTable)'!$A$4:$A$503,ROW()-3),"")</f>
        <v>7</v>
      </c>
      <c r="B35" s="14" t="str" cm="1">
        <f t="array" ref="B35">IFERROR(INDEX('PEDESTALS (LookupTable)'!$E$4:$E$503,ROW()-3),"")</f>
        <v>Circle</v>
      </c>
      <c r="C35" s="15" t="str" cm="1">
        <f t="array" ref="C35">IFERROR(INDEX('PEDESTALS (LookupTable)'!$G$4:$G$503,ROW()-3),"")</f>
        <v>ROUND_WITH_LABEL</v>
      </c>
      <c r="D35" s="14" t="str" cm="1">
        <f t="array" ref="D35">IFERROR(INDEX('PEDESTALS (LookupTable)'!$C$4:$C$503,ROW()-3),"")</f>
        <v>7-2</v>
      </c>
      <c r="E35" s="19"/>
      <c r="F35" s="15" t="str" cm="1">
        <f t="array" ref="F35">IFERROR(INDEX('PEDESTALS (LookupTable)'!$H$4:$H$503,ROW()-3),"")</f>
        <v>9.5 DIA PEDESTAL / Circle / Visibility: With Label</v>
      </c>
    </row>
    <row r="36" spans="1:6" x14ac:dyDescent="0.25">
      <c r="A36" s="14" cm="1">
        <f t="array" ref="A36">IFERROR(INDEX('PEDESTALS (LookupTable)'!$A$4:$A$503,ROW()-3),"")</f>
        <v>7</v>
      </c>
      <c r="B36" s="14" t="str" cm="1">
        <f t="array" ref="B36">IFERROR(INDEX('PEDESTALS (LookupTable)'!$E$4:$E$503,ROW()-3),"")</f>
        <v>Circle</v>
      </c>
      <c r="C36" s="15" t="str" cm="1">
        <f t="array" ref="C36">IFERROR(INDEX('PEDESTALS (LookupTable)'!$G$4:$G$503,ROW()-3),"")</f>
        <v>ROUND_WITH_CALLOUT</v>
      </c>
      <c r="D36" s="14" t="str" cm="1">
        <f t="array" ref="D36">IFERROR(INDEX('PEDESTALS (LookupTable)'!$C$4:$C$503,ROW()-3),"")</f>
        <v>7-3</v>
      </c>
      <c r="E36" s="19"/>
      <c r="F36" s="15" t="str" cm="1">
        <f t="array" ref="F36">IFERROR(INDEX('PEDESTALS (LookupTable)'!$H$4:$H$503,ROW()-3),"")</f>
        <v>9.5 DIA PEDESTAL / Circle / Visibility: With Callout</v>
      </c>
    </row>
    <row r="37" spans="1:6" x14ac:dyDescent="0.25">
      <c r="A37" s="14" cm="1">
        <f t="array" ref="A37">IFERROR(INDEX('PEDESTALS (LookupTable)'!$A$4:$A$503,ROW()-3),"")</f>
        <v>7</v>
      </c>
      <c r="B37" s="14" t="str" cm="1">
        <f t="array" ref="B37">IFERROR(INDEX('PEDESTALS (LookupTable)'!$E$4:$E$503,ROW()-3),"")</f>
        <v>Circle</v>
      </c>
      <c r="C37" s="15" t="str" cm="1">
        <f t="array" ref="C37">IFERROR(INDEX('PEDESTALS (LookupTable)'!$G$4:$G$503,ROW()-3),"")</f>
        <v>ROUND_EXISTING</v>
      </c>
      <c r="D37" s="14" t="str" cm="1">
        <f t="array" ref="D37">IFERROR(INDEX('PEDESTALS (LookupTable)'!$C$4:$C$503,ROW()-3),"")</f>
        <v>7-4</v>
      </c>
      <c r="E37" s="19"/>
      <c r="F37" s="15" t="str" cm="1">
        <f t="array" ref="F37">IFERROR(INDEX('PEDESTALS (LookupTable)'!$H$4:$H$503,ROW()-3),"")</f>
        <v>9.5 DIA PEDESTAL / Circle / Visibility: Existing</v>
      </c>
    </row>
    <row r="38" spans="1:6" x14ac:dyDescent="0.25">
      <c r="A38" s="14" cm="1">
        <f t="array" ref="A38">IFERROR(INDEX('PEDESTALS (LookupTable)'!$A$4:$A$503,ROW()-3),"")</f>
        <v>7</v>
      </c>
      <c r="B38" s="14" t="str" cm="1">
        <f t="array" ref="B38">IFERROR(INDEX('PEDESTALS (LookupTable)'!$E$4:$E$503,ROW()-3),"")</f>
        <v>Circle</v>
      </c>
      <c r="C38" s="15" t="str" cm="1">
        <f t="array" ref="C38">IFERROR(INDEX('PEDESTALS (LookupTable)'!$G$4:$G$503,ROW()-3),"")</f>
        <v>ROUND_PROPOSED</v>
      </c>
      <c r="D38" s="14" t="str" cm="1">
        <f t="array" ref="D38">IFERROR(INDEX('PEDESTALS (LookupTable)'!$C$4:$C$503,ROW()-3),"")</f>
        <v>7-5</v>
      </c>
      <c r="E38" s="19"/>
      <c r="F38" s="15" t="str" cm="1">
        <f t="array" ref="F38">IFERROR(INDEX('PEDESTALS (LookupTable)'!$H$4:$H$503,ROW()-3),"")</f>
        <v>9.5 DIA PEDESTAL / Circle / Visibility: Proposed</v>
      </c>
    </row>
    <row r="39" spans="1:6" x14ac:dyDescent="0.25">
      <c r="A39" s="14" cm="1">
        <f t="array" ref="A39">IFERROR(INDEX('PEDESTALS (LookupTable)'!$A$4:$A$503,ROW()-3),"")</f>
        <v>8</v>
      </c>
      <c r="B39" s="14" t="str" cm="1">
        <f t="array" ref="B39">IFERROR(INDEX('PEDESTALS (LookupTable)'!$E$4:$E$503,ROW()-3),"")</f>
        <v>Circle</v>
      </c>
      <c r="C39" s="15" t="str" cm="1">
        <f t="array" ref="C39">IFERROR(INDEX('PEDESTALS (LookupTable)'!$G$4:$G$503,ROW()-3),"")</f>
        <v>ROUND_STANDARD</v>
      </c>
      <c r="D39" s="14" t="str" cm="1">
        <f t="array" ref="D39">IFERROR(INDEX('PEDESTALS (LookupTable)'!$C$4:$C$503,ROW()-3),"")</f>
        <v>8-1</v>
      </c>
      <c r="E39" s="19"/>
      <c r="F39" s="15" t="str" cm="1">
        <f t="array" ref="F39">IFERROR(INDEX('PEDESTALS (LookupTable)'!$H$4:$H$503,ROW()-3),"")</f>
        <v>10.75 DIA PEDESTAL / Circle / Visibility: Standard</v>
      </c>
    </row>
    <row r="40" spans="1:6" x14ac:dyDescent="0.25">
      <c r="A40" s="14" cm="1">
        <f t="array" ref="A40">IFERROR(INDEX('PEDESTALS (LookupTable)'!$A$4:$A$503,ROW()-3),"")</f>
        <v>8</v>
      </c>
      <c r="B40" s="14" t="str" cm="1">
        <f t="array" ref="B40">IFERROR(INDEX('PEDESTALS (LookupTable)'!$E$4:$E$503,ROW()-3),"")</f>
        <v>Circle</v>
      </c>
      <c r="C40" s="15" t="str" cm="1">
        <f t="array" ref="C40">IFERROR(INDEX('PEDESTALS (LookupTable)'!$G$4:$G$503,ROW()-3),"")</f>
        <v>ROUND_WITH_LABEL</v>
      </c>
      <c r="D40" s="14" t="str" cm="1">
        <f t="array" ref="D40">IFERROR(INDEX('PEDESTALS (LookupTable)'!$C$4:$C$503,ROW()-3),"")</f>
        <v>8-2</v>
      </c>
      <c r="E40" s="19"/>
      <c r="F40" s="15" t="str" cm="1">
        <f t="array" ref="F40">IFERROR(INDEX('PEDESTALS (LookupTable)'!$H$4:$H$503,ROW()-3),"")</f>
        <v>10.75 DIA PEDESTAL / Circle / Visibility: With Label</v>
      </c>
    </row>
    <row r="41" spans="1:6" x14ac:dyDescent="0.25">
      <c r="A41" s="14" cm="1">
        <f t="array" ref="A41">IFERROR(INDEX('PEDESTALS (LookupTable)'!$A$4:$A$503,ROW()-3),"")</f>
        <v>8</v>
      </c>
      <c r="B41" s="14" t="str" cm="1">
        <f t="array" ref="B41">IFERROR(INDEX('PEDESTALS (LookupTable)'!$E$4:$E$503,ROW()-3),"")</f>
        <v>Circle</v>
      </c>
      <c r="C41" s="15" t="str" cm="1">
        <f t="array" ref="C41">IFERROR(INDEX('PEDESTALS (LookupTable)'!$G$4:$G$503,ROW()-3),"")</f>
        <v>ROUND_WITH_CALLOUT</v>
      </c>
      <c r="D41" s="14" t="str" cm="1">
        <f t="array" ref="D41">IFERROR(INDEX('PEDESTALS (LookupTable)'!$C$4:$C$503,ROW()-3),"")</f>
        <v>8-3</v>
      </c>
      <c r="E41" s="19"/>
      <c r="F41" s="15" t="str" cm="1">
        <f t="array" ref="F41">IFERROR(INDEX('PEDESTALS (LookupTable)'!$H$4:$H$503,ROW()-3),"")</f>
        <v>10.75 DIA PEDESTAL / Circle / Visibility: With Callout</v>
      </c>
    </row>
    <row r="42" spans="1:6" x14ac:dyDescent="0.25">
      <c r="A42" s="14" cm="1">
        <f t="array" ref="A42">IFERROR(INDEX('PEDESTALS (LookupTable)'!$A$4:$A$503,ROW()-3),"")</f>
        <v>8</v>
      </c>
      <c r="B42" s="14" t="str" cm="1">
        <f t="array" ref="B42">IFERROR(INDEX('PEDESTALS (LookupTable)'!$E$4:$E$503,ROW()-3),"")</f>
        <v>Circle</v>
      </c>
      <c r="C42" s="15" t="str" cm="1">
        <f t="array" ref="C42">IFERROR(INDEX('PEDESTALS (LookupTable)'!$G$4:$G$503,ROW()-3),"")</f>
        <v>ROUND_EXISTING</v>
      </c>
      <c r="D42" s="14" t="str" cm="1">
        <f t="array" ref="D42">IFERROR(INDEX('PEDESTALS (LookupTable)'!$C$4:$C$503,ROW()-3),"")</f>
        <v>8-4</v>
      </c>
      <c r="E42" s="19"/>
      <c r="F42" s="15" t="str" cm="1">
        <f t="array" ref="F42">IFERROR(INDEX('PEDESTALS (LookupTable)'!$H$4:$H$503,ROW()-3),"")</f>
        <v>10.75 DIA PEDESTAL / Circle / Visibility: Existing</v>
      </c>
    </row>
    <row r="43" spans="1:6" x14ac:dyDescent="0.25">
      <c r="A43" s="14" cm="1">
        <f t="array" ref="A43">IFERROR(INDEX('PEDESTALS (LookupTable)'!$A$4:$A$503,ROW()-3),"")</f>
        <v>8</v>
      </c>
      <c r="B43" s="14" t="str" cm="1">
        <f t="array" ref="B43">IFERROR(INDEX('PEDESTALS (LookupTable)'!$E$4:$E$503,ROW()-3),"")</f>
        <v>Circle</v>
      </c>
      <c r="C43" s="15" t="str" cm="1">
        <f t="array" ref="C43">IFERROR(INDEX('PEDESTALS (LookupTable)'!$G$4:$G$503,ROW()-3),"")</f>
        <v>ROUND_PROPOSED</v>
      </c>
      <c r="D43" s="14" t="str" cm="1">
        <f t="array" ref="D43">IFERROR(INDEX('PEDESTALS (LookupTable)'!$C$4:$C$503,ROW()-3),"")</f>
        <v>8-5</v>
      </c>
      <c r="E43" s="19"/>
      <c r="F43" s="15" t="str" cm="1">
        <f t="array" ref="F43">IFERROR(INDEX('PEDESTALS (LookupTable)'!$H$4:$H$503,ROW()-3),"")</f>
        <v>10.75 DIA PEDESTAL / Circle / Visibility: Proposed</v>
      </c>
    </row>
    <row r="44" spans="1:6" x14ac:dyDescent="0.25">
      <c r="A44" s="14" cm="1">
        <f t="array" ref="A44">IFERROR(INDEX('PEDESTALS (LookupTable)'!$A$4:$A$503,ROW()-3),"")</f>
        <v>9</v>
      </c>
      <c r="B44" s="14" t="str" cm="1">
        <f t="array" ref="B44">IFERROR(INDEX('PEDESTALS (LookupTable)'!$E$4:$E$503,ROW()-3),"")</f>
        <v>Circle</v>
      </c>
      <c r="C44" s="15" t="str" cm="1">
        <f t="array" ref="C44">IFERROR(INDEX('PEDESTALS (LookupTable)'!$G$4:$G$503,ROW()-3),"")</f>
        <v>ROUND_STANDARD</v>
      </c>
      <c r="D44" s="14" t="str" cm="1">
        <f t="array" ref="D44">IFERROR(INDEX('PEDESTALS (LookupTable)'!$C$4:$C$503,ROW()-3),"")</f>
        <v>9-1</v>
      </c>
      <c r="E44" s="19"/>
      <c r="F44" s="15" t="str" cm="1">
        <f t="array" ref="F44">IFERROR(INDEX('PEDESTALS (LookupTable)'!$H$4:$H$503,ROW()-3),"")</f>
        <v>12 DIA PEDESTAL / Circle / Visibility: Standard</v>
      </c>
    </row>
    <row r="45" spans="1:6" x14ac:dyDescent="0.25">
      <c r="A45" s="14" cm="1">
        <f t="array" ref="A45">IFERROR(INDEX('PEDESTALS (LookupTable)'!$A$4:$A$503,ROW()-3),"")</f>
        <v>9</v>
      </c>
      <c r="B45" s="14" t="str" cm="1">
        <f t="array" ref="B45">IFERROR(INDEX('PEDESTALS (LookupTable)'!$E$4:$E$503,ROW()-3),"")</f>
        <v>Circle</v>
      </c>
      <c r="C45" s="15" t="str" cm="1">
        <f t="array" ref="C45">IFERROR(INDEX('PEDESTALS (LookupTable)'!$G$4:$G$503,ROW()-3),"")</f>
        <v>ROUND_WITH_LABEL</v>
      </c>
      <c r="D45" s="14" t="str" cm="1">
        <f t="array" ref="D45">IFERROR(INDEX('PEDESTALS (LookupTable)'!$C$4:$C$503,ROW()-3),"")</f>
        <v>9-2</v>
      </c>
      <c r="E45" s="19"/>
      <c r="F45" s="15" t="str" cm="1">
        <f t="array" ref="F45">IFERROR(INDEX('PEDESTALS (LookupTable)'!$H$4:$H$503,ROW()-3),"")</f>
        <v>12 DIA PEDESTAL / Circle / Visibility: With Label</v>
      </c>
    </row>
    <row r="46" spans="1:6" x14ac:dyDescent="0.25">
      <c r="A46" s="14" cm="1">
        <f t="array" ref="A46">IFERROR(INDEX('PEDESTALS (LookupTable)'!$A$4:$A$503,ROW()-3),"")</f>
        <v>9</v>
      </c>
      <c r="B46" s="14" t="str" cm="1">
        <f t="array" ref="B46">IFERROR(INDEX('PEDESTALS (LookupTable)'!$E$4:$E$503,ROW()-3),"")</f>
        <v>Circle</v>
      </c>
      <c r="C46" s="15" t="str" cm="1">
        <f t="array" ref="C46">IFERROR(INDEX('PEDESTALS (LookupTable)'!$G$4:$G$503,ROW()-3),"")</f>
        <v>ROUND_WITH_CALLOUT</v>
      </c>
      <c r="D46" s="14" t="str" cm="1">
        <f t="array" ref="D46">IFERROR(INDEX('PEDESTALS (LookupTable)'!$C$4:$C$503,ROW()-3),"")</f>
        <v>9-3</v>
      </c>
      <c r="E46" s="19"/>
      <c r="F46" s="15" t="str" cm="1">
        <f t="array" ref="F46">IFERROR(INDEX('PEDESTALS (LookupTable)'!$H$4:$H$503,ROW()-3),"")</f>
        <v>12 DIA PEDESTAL / Circle / Visibility: With Callout</v>
      </c>
    </row>
    <row r="47" spans="1:6" x14ac:dyDescent="0.25">
      <c r="A47" s="14" cm="1">
        <f t="array" ref="A47">IFERROR(INDEX('PEDESTALS (LookupTable)'!$A$4:$A$503,ROW()-3),"")</f>
        <v>9</v>
      </c>
      <c r="B47" s="14" t="str" cm="1">
        <f t="array" ref="B47">IFERROR(INDEX('PEDESTALS (LookupTable)'!$E$4:$E$503,ROW()-3),"")</f>
        <v>Circle</v>
      </c>
      <c r="C47" s="15" t="str" cm="1">
        <f t="array" ref="C47">IFERROR(INDEX('PEDESTALS (LookupTable)'!$G$4:$G$503,ROW()-3),"")</f>
        <v>ROUND_EXISTING</v>
      </c>
      <c r="D47" s="14" t="str" cm="1">
        <f t="array" ref="D47">IFERROR(INDEX('PEDESTALS (LookupTable)'!$C$4:$C$503,ROW()-3),"")</f>
        <v>9-4</v>
      </c>
      <c r="E47" s="19"/>
      <c r="F47" s="15" t="str" cm="1">
        <f t="array" ref="F47">IFERROR(INDEX('PEDESTALS (LookupTable)'!$H$4:$H$503,ROW()-3),"")</f>
        <v>12 DIA PEDESTAL / Circle / Visibility: Existing</v>
      </c>
    </row>
    <row r="48" spans="1:6" x14ac:dyDescent="0.25">
      <c r="A48" s="14" cm="1">
        <f t="array" ref="A48">IFERROR(INDEX('PEDESTALS (LookupTable)'!$A$4:$A$503,ROW()-3),"")</f>
        <v>9</v>
      </c>
      <c r="B48" s="14" t="str" cm="1">
        <f t="array" ref="B48">IFERROR(INDEX('PEDESTALS (LookupTable)'!$E$4:$E$503,ROW()-3),"")</f>
        <v>Circle</v>
      </c>
      <c r="C48" s="15" t="str" cm="1">
        <f t="array" ref="C48">IFERROR(INDEX('PEDESTALS (LookupTable)'!$G$4:$G$503,ROW()-3),"")</f>
        <v>ROUND_PROPOSED</v>
      </c>
      <c r="D48" s="14" t="str" cm="1">
        <f t="array" ref="D48">IFERROR(INDEX('PEDESTALS (LookupTable)'!$C$4:$C$503,ROW()-3),"")</f>
        <v>9-5</v>
      </c>
      <c r="E48" s="19"/>
      <c r="F48" s="15" t="str" cm="1">
        <f t="array" ref="F48">IFERROR(INDEX('PEDESTALS (LookupTable)'!$H$4:$H$503,ROW()-3),"")</f>
        <v>12 DIA PEDESTAL / Circle / Visibility: Proposed</v>
      </c>
    </row>
    <row r="49" spans="1:6" x14ac:dyDescent="0.25">
      <c r="A49" s="14" cm="1">
        <f t="array" ref="A49">IFERROR(INDEX('PEDESTALS (LookupTable)'!$A$4:$A$503,ROW()-3),"")</f>
        <v>10</v>
      </c>
      <c r="B49" s="14" t="str" cm="1">
        <f t="array" ref="B49">IFERROR(INDEX('PEDESTALS (LookupTable)'!$E$4:$E$503,ROW()-3),"")</f>
        <v>Circle</v>
      </c>
      <c r="C49" s="15" t="str" cm="1">
        <f t="array" ref="C49">IFERROR(INDEX('PEDESTALS (LookupTable)'!$G$4:$G$503,ROW()-3),"")</f>
        <v>ROUND_STANDARD</v>
      </c>
      <c r="D49" s="14" t="str" cm="1">
        <f t="array" ref="D49">IFERROR(INDEX('PEDESTALS (LookupTable)'!$C$4:$C$503,ROW()-3),"")</f>
        <v>10-1</v>
      </c>
      <c r="E49" s="19"/>
      <c r="F49" s="15" t="str" cm="1">
        <f t="array" ref="F49">IFERROR(INDEX('PEDESTALS (LookupTable)'!$H$4:$H$503,ROW()-3),"")</f>
        <v>13 DIA PEDESTAL / Circle / Visibility: Standard</v>
      </c>
    </row>
    <row r="50" spans="1:6" x14ac:dyDescent="0.25">
      <c r="A50" s="14" cm="1">
        <f t="array" ref="A50">IFERROR(INDEX('PEDESTALS (LookupTable)'!$A$4:$A$503,ROW()-3),"")</f>
        <v>10</v>
      </c>
      <c r="B50" s="14" t="str" cm="1">
        <f t="array" ref="B50">IFERROR(INDEX('PEDESTALS (LookupTable)'!$E$4:$E$503,ROW()-3),"")</f>
        <v>Circle</v>
      </c>
      <c r="C50" s="15" t="str" cm="1">
        <f t="array" ref="C50">IFERROR(INDEX('PEDESTALS (LookupTable)'!$G$4:$G$503,ROW()-3),"")</f>
        <v>ROUND_WITH_LABEL</v>
      </c>
      <c r="D50" s="14" t="str" cm="1">
        <f t="array" ref="D50">IFERROR(INDEX('PEDESTALS (LookupTable)'!$C$4:$C$503,ROW()-3),"")</f>
        <v>10-2</v>
      </c>
      <c r="E50" s="19"/>
      <c r="F50" s="15" t="str" cm="1">
        <f t="array" ref="F50">IFERROR(INDEX('PEDESTALS (LookupTable)'!$H$4:$H$503,ROW()-3),"")</f>
        <v>13 DIA PEDESTAL / Circle / Visibility: With Label</v>
      </c>
    </row>
    <row r="51" spans="1:6" x14ac:dyDescent="0.25">
      <c r="A51" s="14" cm="1">
        <f t="array" ref="A51">IFERROR(INDEX('PEDESTALS (LookupTable)'!$A$4:$A$503,ROW()-3),"")</f>
        <v>10</v>
      </c>
      <c r="B51" s="14" t="str" cm="1">
        <f t="array" ref="B51">IFERROR(INDEX('PEDESTALS (LookupTable)'!$E$4:$E$503,ROW()-3),"")</f>
        <v>Circle</v>
      </c>
      <c r="C51" s="15" t="str" cm="1">
        <f t="array" ref="C51">IFERROR(INDEX('PEDESTALS (LookupTable)'!$G$4:$G$503,ROW()-3),"")</f>
        <v>ROUND_WITH_CALLOUT</v>
      </c>
      <c r="D51" s="14" t="str" cm="1">
        <f t="array" ref="D51">IFERROR(INDEX('PEDESTALS (LookupTable)'!$C$4:$C$503,ROW()-3),"")</f>
        <v>10-3</v>
      </c>
      <c r="E51" s="19"/>
      <c r="F51" s="15" t="str" cm="1">
        <f t="array" ref="F51">IFERROR(INDEX('PEDESTALS (LookupTable)'!$H$4:$H$503,ROW()-3),"")</f>
        <v>13 DIA PEDESTAL / Circle / Visibility: With Callout</v>
      </c>
    </row>
    <row r="52" spans="1:6" x14ac:dyDescent="0.25">
      <c r="A52" s="14" cm="1">
        <f t="array" ref="A52">IFERROR(INDEX('PEDESTALS (LookupTable)'!$A$4:$A$503,ROW()-3),"")</f>
        <v>10</v>
      </c>
      <c r="B52" s="14" t="str" cm="1">
        <f t="array" ref="B52">IFERROR(INDEX('PEDESTALS (LookupTable)'!$E$4:$E$503,ROW()-3),"")</f>
        <v>Circle</v>
      </c>
      <c r="C52" s="15" t="str" cm="1">
        <f t="array" ref="C52">IFERROR(INDEX('PEDESTALS (LookupTable)'!$G$4:$G$503,ROW()-3),"")</f>
        <v>ROUND_EXISTING</v>
      </c>
      <c r="D52" s="14" t="str" cm="1">
        <f t="array" ref="D52">IFERROR(INDEX('PEDESTALS (LookupTable)'!$C$4:$C$503,ROW()-3),"")</f>
        <v>10-4</v>
      </c>
      <c r="E52" s="19"/>
      <c r="F52" s="15" t="str" cm="1">
        <f t="array" ref="F52">IFERROR(INDEX('PEDESTALS (LookupTable)'!$H$4:$H$503,ROW()-3),"")</f>
        <v>13 DIA PEDESTAL / Circle / Visibility: Existing</v>
      </c>
    </row>
    <row r="53" spans="1:6" x14ac:dyDescent="0.25">
      <c r="A53" s="14" cm="1">
        <f t="array" ref="A53">IFERROR(INDEX('PEDESTALS (LookupTable)'!$A$4:$A$503,ROW()-3),"")</f>
        <v>10</v>
      </c>
      <c r="B53" s="14" t="str" cm="1">
        <f t="array" ref="B53">IFERROR(INDEX('PEDESTALS (LookupTable)'!$E$4:$E$503,ROW()-3),"")</f>
        <v>Circle</v>
      </c>
      <c r="C53" s="15" t="str" cm="1">
        <f t="array" ref="C53">IFERROR(INDEX('PEDESTALS (LookupTable)'!$G$4:$G$503,ROW()-3),"")</f>
        <v>ROUND_PROPOSED</v>
      </c>
      <c r="D53" s="14" t="str" cm="1">
        <f t="array" ref="D53">IFERROR(INDEX('PEDESTALS (LookupTable)'!$C$4:$C$503,ROW()-3),"")</f>
        <v>10-5</v>
      </c>
      <c r="E53" s="19"/>
      <c r="F53" s="15" t="str" cm="1">
        <f t="array" ref="F53">IFERROR(INDEX('PEDESTALS (LookupTable)'!$H$4:$H$503,ROW()-3),"")</f>
        <v>13 DIA PEDESTAL / Circle / Visibility: Proposed</v>
      </c>
    </row>
    <row r="54" spans="1:6" x14ac:dyDescent="0.25">
      <c r="A54" s="14" cm="1">
        <f t="array" ref="A54">IFERROR(INDEX('PEDESTALS (LookupTable)'!$A$4:$A$503,ROW()-3),"")</f>
        <v>11</v>
      </c>
      <c r="B54" s="14" t="str" cm="1">
        <f t="array" ref="B54">IFERROR(INDEX('PEDESTALS (LookupTable)'!$E$4:$E$503,ROW()-3),"")</f>
        <v>Large Rectangle</v>
      </c>
      <c r="C54" s="15" t="str" cm="1">
        <f t="array" ref="C54">IFERROR(INDEX('PEDESTALS (LookupTable)'!$G$4:$G$503,ROW()-3),"")</f>
        <v>LARGE RECTANGLE_STANDARD</v>
      </c>
      <c r="D54" s="14" t="str" cm="1">
        <f t="array" ref="D54">IFERROR(INDEX('PEDESTALS (LookupTable)'!$C$4:$C$503,ROW()-3),"")</f>
        <v>11-1</v>
      </c>
      <c r="E54" s="19"/>
      <c r="F54" s="15" t="str" cm="1">
        <f t="array" ref="F54">IFERROR(INDEX('PEDESTALS (LookupTable)'!$H$4:$H$503,ROW()-3),"")</f>
        <v>24x36 PEDESTAL / Large Rectangle / Visibility: Standard</v>
      </c>
    </row>
    <row r="55" spans="1:6" x14ac:dyDescent="0.25">
      <c r="A55" s="14" cm="1">
        <f t="array" ref="A55">IFERROR(INDEX('PEDESTALS (LookupTable)'!$A$4:$A$503,ROW()-3),"")</f>
        <v>11</v>
      </c>
      <c r="B55" s="14" t="str" cm="1">
        <f t="array" ref="B55">IFERROR(INDEX('PEDESTALS (LookupTable)'!$E$4:$E$503,ROW()-3),"")</f>
        <v>Large Rectangle</v>
      </c>
      <c r="C55" s="15" t="str" cm="1">
        <f t="array" ref="C55">IFERROR(INDEX('PEDESTALS (LookupTable)'!$G$4:$G$503,ROW()-3),"")</f>
        <v>LARGE RECTANGLE_WITH_LABEL</v>
      </c>
      <c r="D55" s="14" t="str" cm="1">
        <f t="array" ref="D55">IFERROR(INDEX('PEDESTALS (LookupTable)'!$C$4:$C$503,ROW()-3),"")</f>
        <v>11-2</v>
      </c>
      <c r="E55" s="19"/>
      <c r="F55" s="15" t="str" cm="1">
        <f t="array" ref="F55">IFERROR(INDEX('PEDESTALS (LookupTable)'!$H$4:$H$503,ROW()-3),"")</f>
        <v>24x36 PEDESTAL / Large Rectangle / Visibility: With Label</v>
      </c>
    </row>
    <row r="56" spans="1:6" x14ac:dyDescent="0.25">
      <c r="A56" s="14" cm="1">
        <f t="array" ref="A56">IFERROR(INDEX('PEDESTALS (LookupTable)'!$A$4:$A$503,ROW()-3),"")</f>
        <v>11</v>
      </c>
      <c r="B56" s="14" t="str" cm="1">
        <f t="array" ref="B56">IFERROR(INDEX('PEDESTALS (LookupTable)'!$E$4:$E$503,ROW()-3),"")</f>
        <v>Large Rectangle</v>
      </c>
      <c r="C56" s="15" t="str" cm="1">
        <f t="array" ref="C56">IFERROR(INDEX('PEDESTALS (LookupTable)'!$G$4:$G$503,ROW()-3),"")</f>
        <v>LARGE RECTANGLE_WITH_CALLOUT</v>
      </c>
      <c r="D56" s="14" t="str" cm="1">
        <f t="array" ref="D56">IFERROR(INDEX('PEDESTALS (LookupTable)'!$C$4:$C$503,ROW()-3),"")</f>
        <v>11-3</v>
      </c>
      <c r="E56" s="19"/>
      <c r="F56" s="15" t="str" cm="1">
        <f t="array" ref="F56">IFERROR(INDEX('PEDESTALS (LookupTable)'!$H$4:$H$503,ROW()-3),"")</f>
        <v>24x36 PEDESTAL / Large Rectangle / Visibility: With Callout</v>
      </c>
    </row>
    <row r="57" spans="1:6" x14ac:dyDescent="0.25">
      <c r="A57" s="14" cm="1">
        <f t="array" ref="A57">IFERROR(INDEX('PEDESTALS (LookupTable)'!$A$4:$A$503,ROW()-3),"")</f>
        <v>11</v>
      </c>
      <c r="B57" s="14" t="str" cm="1">
        <f t="array" ref="B57">IFERROR(INDEX('PEDESTALS (LookupTable)'!$E$4:$E$503,ROW()-3),"")</f>
        <v>Large Rectangle</v>
      </c>
      <c r="C57" s="15" t="str" cm="1">
        <f t="array" ref="C57">IFERROR(INDEX('PEDESTALS (LookupTable)'!$G$4:$G$503,ROW()-3),"")</f>
        <v>LARGE RECTANGLE_EXISTING</v>
      </c>
      <c r="D57" s="14" t="str" cm="1">
        <f t="array" ref="D57">IFERROR(INDEX('PEDESTALS (LookupTable)'!$C$4:$C$503,ROW()-3),"")</f>
        <v>11-4</v>
      </c>
      <c r="E57" s="19"/>
      <c r="F57" s="15" t="str" cm="1">
        <f t="array" ref="F57">IFERROR(INDEX('PEDESTALS (LookupTable)'!$H$4:$H$503,ROW()-3),"")</f>
        <v>24x36 PEDESTAL / Large Rectangle / Visibility: Existing</v>
      </c>
    </row>
    <row r="58" spans="1:6" x14ac:dyDescent="0.25">
      <c r="A58" s="14" cm="1">
        <f t="array" ref="A58">IFERROR(INDEX('PEDESTALS (LookupTable)'!$A$4:$A$503,ROW()-3),"")</f>
        <v>11</v>
      </c>
      <c r="B58" s="14" t="str" cm="1">
        <f t="array" ref="B58">IFERROR(INDEX('PEDESTALS (LookupTable)'!$E$4:$E$503,ROW()-3),"")</f>
        <v>Large Rectangle</v>
      </c>
      <c r="C58" s="15" t="str" cm="1">
        <f t="array" ref="C58">IFERROR(INDEX('PEDESTALS (LookupTable)'!$G$4:$G$503,ROW()-3),"")</f>
        <v>LARGE RECTANGLE_PROPOSED</v>
      </c>
      <c r="D58" s="14" t="str" cm="1">
        <f t="array" ref="D58">IFERROR(INDEX('PEDESTALS (LookupTable)'!$C$4:$C$503,ROW()-3),"")</f>
        <v>11-5</v>
      </c>
      <c r="E58" s="19"/>
      <c r="F58" s="15" t="str" cm="1">
        <f t="array" ref="F58">IFERROR(INDEX('PEDESTALS (LookupTable)'!$H$4:$H$503,ROW()-3),"")</f>
        <v>24x36 PEDESTAL / Large Rectangle / Visibility: Proposed</v>
      </c>
    </row>
    <row r="59" spans="1:6" x14ac:dyDescent="0.25">
      <c r="A59" s="14" cm="1">
        <f t="array" ref="A59">IFERROR(INDEX('PEDESTALS (LookupTable)'!$A$4:$A$503,ROW()-3),"")</f>
        <v>12</v>
      </c>
      <c r="B59" s="14" t="str" cm="1">
        <f t="array" ref="B59">IFERROR(INDEX('PEDESTALS (LookupTable)'!$E$4:$E$503,ROW()-3),"")</f>
        <v>Large Rectangle</v>
      </c>
      <c r="C59" s="15" t="str" cm="1">
        <f t="array" ref="C59">IFERROR(INDEX('PEDESTALS (LookupTable)'!$G$4:$G$503,ROW()-3),"")</f>
        <v>LARGE RECTANGLE_STANDARD</v>
      </c>
      <c r="D59" s="14" t="str" cm="1">
        <f t="array" ref="D59">IFERROR(INDEX('PEDESTALS (LookupTable)'!$C$4:$C$503,ROW()-3),"")</f>
        <v>12-1</v>
      </c>
      <c r="E59" s="19"/>
      <c r="F59" s="15" t="str" cm="1">
        <f t="array" ref="F59">IFERROR(INDEX('PEDESTALS (LookupTable)'!$H$4:$H$503,ROW()-3),"")</f>
        <v>24x42 PEDESTAL / Large Rectangle / Visibility: Standard</v>
      </c>
    </row>
    <row r="60" spans="1:6" x14ac:dyDescent="0.25">
      <c r="A60" s="14" cm="1">
        <f t="array" ref="A60">IFERROR(INDEX('PEDESTALS (LookupTable)'!$A$4:$A$503,ROW()-3),"")</f>
        <v>12</v>
      </c>
      <c r="B60" s="14" t="str" cm="1">
        <f t="array" ref="B60">IFERROR(INDEX('PEDESTALS (LookupTable)'!$E$4:$E$503,ROW()-3),"")</f>
        <v>Large Rectangle</v>
      </c>
      <c r="C60" s="15" t="str" cm="1">
        <f t="array" ref="C60">IFERROR(INDEX('PEDESTALS (LookupTable)'!$G$4:$G$503,ROW()-3),"")</f>
        <v>LARGE RECTANGLE_WITH_LABEL</v>
      </c>
      <c r="D60" s="14" t="str" cm="1">
        <f t="array" ref="D60">IFERROR(INDEX('PEDESTALS (LookupTable)'!$C$4:$C$503,ROW()-3),"")</f>
        <v>12-2</v>
      </c>
      <c r="E60" s="19"/>
      <c r="F60" s="15" t="str" cm="1">
        <f t="array" ref="F60">IFERROR(INDEX('PEDESTALS (LookupTable)'!$H$4:$H$503,ROW()-3),"")</f>
        <v>24x42 PEDESTAL / Large Rectangle / Visibility: With Label</v>
      </c>
    </row>
    <row r="61" spans="1:6" x14ac:dyDescent="0.25">
      <c r="A61" s="14" cm="1">
        <f t="array" ref="A61">IFERROR(INDEX('PEDESTALS (LookupTable)'!$A$4:$A$503,ROW()-3),"")</f>
        <v>12</v>
      </c>
      <c r="B61" s="14" t="str" cm="1">
        <f t="array" ref="B61">IFERROR(INDEX('PEDESTALS (LookupTable)'!$E$4:$E$503,ROW()-3),"")</f>
        <v>Large Rectangle</v>
      </c>
      <c r="C61" s="15" t="str" cm="1">
        <f t="array" ref="C61">IFERROR(INDEX('PEDESTALS (LookupTable)'!$G$4:$G$503,ROW()-3),"")</f>
        <v>LARGE RECTANGLE_WITH_CALLOUT</v>
      </c>
      <c r="D61" s="14" t="str" cm="1">
        <f t="array" ref="D61">IFERROR(INDEX('PEDESTALS (LookupTable)'!$C$4:$C$503,ROW()-3),"")</f>
        <v>12-3</v>
      </c>
      <c r="E61" s="19"/>
      <c r="F61" s="15" t="str" cm="1">
        <f t="array" ref="F61">IFERROR(INDEX('PEDESTALS (LookupTable)'!$H$4:$H$503,ROW()-3),"")</f>
        <v>24x42 PEDESTAL / Large Rectangle / Visibility: With Callout</v>
      </c>
    </row>
    <row r="62" spans="1:6" x14ac:dyDescent="0.25">
      <c r="A62" s="14" cm="1">
        <f t="array" ref="A62">IFERROR(INDEX('PEDESTALS (LookupTable)'!$A$4:$A$503,ROW()-3),"")</f>
        <v>12</v>
      </c>
      <c r="B62" s="14" t="str" cm="1">
        <f t="array" ref="B62">IFERROR(INDEX('PEDESTALS (LookupTable)'!$E$4:$E$503,ROW()-3),"")</f>
        <v>Large Rectangle</v>
      </c>
      <c r="C62" s="15" t="str" cm="1">
        <f t="array" ref="C62">IFERROR(INDEX('PEDESTALS (LookupTable)'!$G$4:$G$503,ROW()-3),"")</f>
        <v>LARGE RECTANGLE_EXISTING</v>
      </c>
      <c r="D62" s="14" t="str" cm="1">
        <f t="array" ref="D62">IFERROR(INDEX('PEDESTALS (LookupTable)'!$C$4:$C$503,ROW()-3),"")</f>
        <v>12-4</v>
      </c>
      <c r="E62" s="19"/>
      <c r="F62" s="15" t="str" cm="1">
        <f t="array" ref="F62">IFERROR(INDEX('PEDESTALS (LookupTable)'!$H$4:$H$503,ROW()-3),"")</f>
        <v>24x42 PEDESTAL / Large Rectangle / Visibility: Existing</v>
      </c>
    </row>
    <row r="63" spans="1:6" x14ac:dyDescent="0.25">
      <c r="A63" s="14" cm="1">
        <f t="array" ref="A63">IFERROR(INDEX('PEDESTALS (LookupTable)'!$A$4:$A$503,ROW()-3),"")</f>
        <v>12</v>
      </c>
      <c r="B63" s="14" t="str" cm="1">
        <f t="array" ref="B63">IFERROR(INDEX('PEDESTALS (LookupTable)'!$E$4:$E$503,ROW()-3),"")</f>
        <v>Large Rectangle</v>
      </c>
      <c r="C63" s="15" t="str" cm="1">
        <f t="array" ref="C63">IFERROR(INDEX('PEDESTALS (LookupTable)'!$G$4:$G$503,ROW()-3),"")</f>
        <v>LARGE RECTANGLE_PROPOSED</v>
      </c>
      <c r="D63" s="14" t="str" cm="1">
        <f t="array" ref="D63">IFERROR(INDEX('PEDESTALS (LookupTable)'!$C$4:$C$503,ROW()-3),"")</f>
        <v>12-5</v>
      </c>
      <c r="E63" s="19"/>
      <c r="F63" s="15" t="str" cm="1">
        <f t="array" ref="F63">IFERROR(INDEX('PEDESTALS (LookupTable)'!$H$4:$H$503,ROW()-3),"")</f>
        <v>24x42 PEDESTAL / Large Rectangle / Visibility: Proposed</v>
      </c>
    </row>
    <row r="64" spans="1:6" x14ac:dyDescent="0.25">
      <c r="A64" s="14" cm="1">
        <f t="array" ref="A64">IFERROR(INDEX('PEDESTALS (LookupTable)'!$A$4:$A$503,ROW()-3),"")</f>
        <v>13</v>
      </c>
      <c r="B64" s="14" t="str" cm="1">
        <f t="array" ref="B64">IFERROR(INDEX('PEDESTALS (LookupTable)'!$E$4:$E$503,ROW()-3),"")</f>
        <v>Large Rectangle</v>
      </c>
      <c r="C64" s="15" t="str" cm="1">
        <f t="array" ref="C64">IFERROR(INDEX('PEDESTALS (LookupTable)'!$G$4:$G$503,ROW()-3),"")</f>
        <v>LARGE RECTANGLE_STANDARD</v>
      </c>
      <c r="D64" s="14" t="str" cm="1">
        <f t="array" ref="D64">IFERROR(INDEX('PEDESTALS (LookupTable)'!$C$4:$C$503,ROW()-3),"")</f>
        <v>13-1</v>
      </c>
      <c r="E64" s="19"/>
      <c r="F64" s="15" t="str" cm="1">
        <f t="array" ref="F64">IFERROR(INDEX('PEDESTALS (LookupTable)'!$H$4:$H$503,ROW()-3),"")</f>
        <v>30x48 PEDESTAL / Large Rectangle / Visibility: Standard</v>
      </c>
    </row>
    <row r="65" spans="1:6" x14ac:dyDescent="0.25">
      <c r="A65" s="14" cm="1">
        <f t="array" ref="A65">IFERROR(INDEX('PEDESTALS (LookupTable)'!$A$4:$A$503,ROW()-3),"")</f>
        <v>13</v>
      </c>
      <c r="B65" s="14" t="str" cm="1">
        <f t="array" ref="B65">IFERROR(INDEX('PEDESTALS (LookupTable)'!$E$4:$E$503,ROW()-3),"")</f>
        <v>Large Rectangle</v>
      </c>
      <c r="C65" s="15" t="str" cm="1">
        <f t="array" ref="C65">IFERROR(INDEX('PEDESTALS (LookupTable)'!$G$4:$G$503,ROW()-3),"")</f>
        <v>LARGE RECTANGLE_WITH_LABEL</v>
      </c>
      <c r="D65" s="14" t="str" cm="1">
        <f t="array" ref="D65">IFERROR(INDEX('PEDESTALS (LookupTable)'!$C$4:$C$503,ROW()-3),"")</f>
        <v>13-2</v>
      </c>
      <c r="E65" s="19"/>
      <c r="F65" s="15" t="str" cm="1">
        <f t="array" ref="F65">IFERROR(INDEX('PEDESTALS (LookupTable)'!$H$4:$H$503,ROW()-3),"")</f>
        <v>30x48 PEDESTAL / Large Rectangle / Visibility: With Label</v>
      </c>
    </row>
    <row r="66" spans="1:6" x14ac:dyDescent="0.25">
      <c r="A66" s="14" cm="1">
        <f t="array" ref="A66">IFERROR(INDEX('PEDESTALS (LookupTable)'!$A$4:$A$503,ROW()-3),"")</f>
        <v>13</v>
      </c>
      <c r="B66" s="14" t="str" cm="1">
        <f t="array" ref="B66">IFERROR(INDEX('PEDESTALS (LookupTable)'!$E$4:$E$503,ROW()-3),"")</f>
        <v>Large Rectangle</v>
      </c>
      <c r="C66" s="15" t="str" cm="1">
        <f t="array" ref="C66">IFERROR(INDEX('PEDESTALS (LookupTable)'!$G$4:$G$503,ROW()-3),"")</f>
        <v>LARGE RECTANGLE_WITH_CALLOUT</v>
      </c>
      <c r="D66" s="14" t="str" cm="1">
        <f t="array" ref="D66">IFERROR(INDEX('PEDESTALS (LookupTable)'!$C$4:$C$503,ROW()-3),"")</f>
        <v>13-3</v>
      </c>
      <c r="E66" s="19"/>
      <c r="F66" s="15" t="str" cm="1">
        <f t="array" ref="F66">IFERROR(INDEX('PEDESTALS (LookupTable)'!$H$4:$H$503,ROW()-3),"")</f>
        <v>30x48 PEDESTAL / Large Rectangle / Visibility: With Callout</v>
      </c>
    </row>
    <row r="67" spans="1:6" x14ac:dyDescent="0.25">
      <c r="A67" s="14" cm="1">
        <f t="array" ref="A67">IFERROR(INDEX('PEDESTALS (LookupTable)'!$A$4:$A$503,ROW()-3),"")</f>
        <v>13</v>
      </c>
      <c r="B67" s="14" t="str" cm="1">
        <f t="array" ref="B67">IFERROR(INDEX('PEDESTALS (LookupTable)'!$E$4:$E$503,ROW()-3),"")</f>
        <v>Large Rectangle</v>
      </c>
      <c r="C67" s="15" t="str" cm="1">
        <f t="array" ref="C67">IFERROR(INDEX('PEDESTALS (LookupTable)'!$G$4:$G$503,ROW()-3),"")</f>
        <v>LARGE RECTANGLE_EXISTING</v>
      </c>
      <c r="D67" s="14" t="str" cm="1">
        <f t="array" ref="D67">IFERROR(INDEX('PEDESTALS (LookupTable)'!$C$4:$C$503,ROW()-3),"")</f>
        <v>13-4</v>
      </c>
      <c r="E67" s="19"/>
      <c r="F67" s="15" t="str" cm="1">
        <f t="array" ref="F67">IFERROR(INDEX('PEDESTALS (LookupTable)'!$H$4:$H$503,ROW()-3),"")</f>
        <v>30x48 PEDESTAL / Large Rectangle / Visibility: Existing</v>
      </c>
    </row>
    <row r="68" spans="1:6" x14ac:dyDescent="0.25">
      <c r="A68" s="14" cm="1">
        <f t="array" ref="A68">IFERROR(INDEX('PEDESTALS (LookupTable)'!$A$4:$A$503,ROW()-3),"")</f>
        <v>13</v>
      </c>
      <c r="B68" s="14" t="str" cm="1">
        <f t="array" ref="B68">IFERROR(INDEX('PEDESTALS (LookupTable)'!$E$4:$E$503,ROW()-3),"")</f>
        <v>Large Rectangle</v>
      </c>
      <c r="C68" s="15" t="str" cm="1">
        <f t="array" ref="C68">IFERROR(INDEX('PEDESTALS (LookupTable)'!$G$4:$G$503,ROW()-3),"")</f>
        <v>LARGE RECTANGLE_PROPOSED</v>
      </c>
      <c r="D68" s="14" t="str" cm="1">
        <f t="array" ref="D68">IFERROR(INDEX('PEDESTALS (LookupTable)'!$C$4:$C$503,ROW()-3),"")</f>
        <v>13-5</v>
      </c>
      <c r="E68" s="19"/>
      <c r="F68" s="15" t="str" cm="1">
        <f t="array" ref="F68">IFERROR(INDEX('PEDESTALS (LookupTable)'!$H$4:$H$503,ROW()-3),"")</f>
        <v>30x48 PEDESTAL / Large Rectangle / Visibility: Proposed</v>
      </c>
    </row>
    <row r="69" spans="1:6" x14ac:dyDescent="0.25">
      <c r="A69" s="14" cm="1">
        <f t="array" ref="A69">IFERROR(INDEX('PEDESTALS (LookupTable)'!$A$4:$A$503,ROW()-3),"")</f>
        <v>14</v>
      </c>
      <c r="B69" s="14" t="str" cm="1">
        <f t="array" ref="B69">IFERROR(INDEX('PEDESTALS (LookupTable)'!$E$4:$E$503,ROW()-3),"")</f>
        <v>House</v>
      </c>
      <c r="C69" s="15" t="str" cm="1">
        <f t="array" ref="C69">IFERROR(INDEX('PEDESTALS (LookupTable)'!$G$4:$G$503,ROW()-3),"")</f>
        <v>CAT HOUSE_STANDARD</v>
      </c>
      <c r="D69" s="14" t="str" cm="1">
        <f t="array" ref="D69">IFERROR(INDEX('PEDESTALS (LookupTable)'!$C$4:$C$503,ROW()-3),"")</f>
        <v>14-1</v>
      </c>
      <c r="E69" s="19"/>
      <c r="F69" s="15" t="str" cm="1">
        <f t="array" ref="F69">IFERROR(INDEX('PEDESTALS (LookupTable)'!$H$4:$H$503,ROW()-3),"")</f>
        <v>CAT HOUSE / House / Visibility: Standard</v>
      </c>
    </row>
    <row r="70" spans="1:6" x14ac:dyDescent="0.25">
      <c r="A70" s="14" cm="1">
        <f t="array" ref="A70">IFERROR(INDEX('PEDESTALS (LookupTable)'!$A$4:$A$503,ROW()-3),"")</f>
        <v>14</v>
      </c>
      <c r="B70" s="14" t="str" cm="1">
        <f t="array" ref="B70">IFERROR(INDEX('PEDESTALS (LookupTable)'!$E$4:$E$503,ROW()-3),"")</f>
        <v>House</v>
      </c>
      <c r="C70" s="15" t="str" cm="1">
        <f t="array" ref="C70">IFERROR(INDEX('PEDESTALS (LookupTable)'!$G$4:$G$503,ROW()-3),"")</f>
        <v>CAT HOUSE_WITH_LABEL</v>
      </c>
      <c r="D70" s="14" t="str" cm="1">
        <f t="array" ref="D70">IFERROR(INDEX('PEDESTALS (LookupTable)'!$C$4:$C$503,ROW()-3),"")</f>
        <v>14-2</v>
      </c>
      <c r="E70" s="19"/>
      <c r="F70" s="15" t="str" cm="1">
        <f t="array" ref="F70">IFERROR(INDEX('PEDESTALS (LookupTable)'!$H$4:$H$503,ROW()-3),"")</f>
        <v>CAT HOUSE / House / Visibility: With Label</v>
      </c>
    </row>
    <row r="71" spans="1:6" x14ac:dyDescent="0.25">
      <c r="A71" s="14" cm="1">
        <f t="array" ref="A71">IFERROR(INDEX('PEDESTALS (LookupTable)'!$A$4:$A$503,ROW()-3),"")</f>
        <v>14</v>
      </c>
      <c r="B71" s="14" t="str" cm="1">
        <f t="array" ref="B71">IFERROR(INDEX('PEDESTALS (LookupTable)'!$E$4:$E$503,ROW()-3),"")</f>
        <v>House</v>
      </c>
      <c r="C71" s="15" t="str" cm="1">
        <f t="array" ref="C71">IFERROR(INDEX('PEDESTALS (LookupTable)'!$G$4:$G$503,ROW()-3),"")</f>
        <v>CAT HOUSE_WITH_CALLOUT</v>
      </c>
      <c r="D71" s="14" t="str" cm="1">
        <f t="array" ref="D71">IFERROR(INDEX('PEDESTALS (LookupTable)'!$C$4:$C$503,ROW()-3),"")</f>
        <v>14-3</v>
      </c>
      <c r="E71" s="19"/>
      <c r="F71" s="15" t="str" cm="1">
        <f t="array" ref="F71">IFERROR(INDEX('PEDESTALS (LookupTable)'!$H$4:$H$503,ROW()-3),"")</f>
        <v>CAT HOUSE / House / Visibility: With Callout</v>
      </c>
    </row>
    <row r="72" spans="1:6" x14ac:dyDescent="0.25">
      <c r="A72" s="14" cm="1">
        <f t="array" ref="A72">IFERROR(INDEX('PEDESTALS (LookupTable)'!$A$4:$A$503,ROW()-3),"")</f>
        <v>14</v>
      </c>
      <c r="B72" s="14" t="str" cm="1">
        <f t="array" ref="B72">IFERROR(INDEX('PEDESTALS (LookupTable)'!$E$4:$E$503,ROW()-3),"")</f>
        <v>House</v>
      </c>
      <c r="C72" s="15" t="str" cm="1">
        <f t="array" ref="C72">IFERROR(INDEX('PEDESTALS (LookupTable)'!$G$4:$G$503,ROW()-3),"")</f>
        <v>CAT HOUSE_EXISTING</v>
      </c>
      <c r="D72" s="14" t="str" cm="1">
        <f t="array" ref="D72">IFERROR(INDEX('PEDESTALS (LookupTable)'!$C$4:$C$503,ROW()-3),"")</f>
        <v>14-4</v>
      </c>
      <c r="E72" s="19"/>
      <c r="F72" s="15" t="str" cm="1">
        <f t="array" ref="F72">IFERROR(INDEX('PEDESTALS (LookupTable)'!$H$4:$H$503,ROW()-3),"")</f>
        <v>CAT HOUSE / House / Visibility: Existing</v>
      </c>
    </row>
    <row r="73" spans="1:6" x14ac:dyDescent="0.25">
      <c r="A73" s="14" cm="1">
        <f t="array" ref="A73">IFERROR(INDEX('PEDESTALS (LookupTable)'!$A$4:$A$503,ROW()-3),"")</f>
        <v>14</v>
      </c>
      <c r="B73" s="14" t="str" cm="1">
        <f t="array" ref="B73">IFERROR(INDEX('PEDESTALS (LookupTable)'!$E$4:$E$503,ROW()-3),"")</f>
        <v>House</v>
      </c>
      <c r="C73" s="15" t="str" cm="1">
        <f t="array" ref="C73">IFERROR(INDEX('PEDESTALS (LookupTable)'!$G$4:$G$503,ROW()-3),"")</f>
        <v>CAT HOUSE_PROPOSED</v>
      </c>
      <c r="D73" s="14" t="str" cm="1">
        <f t="array" ref="D73">IFERROR(INDEX('PEDESTALS (LookupTable)'!$C$4:$C$503,ROW()-3),"")</f>
        <v>14-5</v>
      </c>
      <c r="E73" s="19"/>
      <c r="F73" s="15" t="str" cm="1">
        <f t="array" ref="F73">IFERROR(INDEX('PEDESTALS (LookupTable)'!$H$4:$H$503,ROW()-3),"")</f>
        <v>CAT HOUSE / House / Visibility: Proposed</v>
      </c>
    </row>
    <row r="74" spans="1:6" x14ac:dyDescent="0.25">
      <c r="A74" s="14" cm="1">
        <f t="array" ref="A74">IFERROR(INDEX('PEDESTALS (LookupTable)'!$A$4:$A$503,ROW()-3),"")</f>
        <v>15</v>
      </c>
      <c r="B74" s="14" t="str" cm="1">
        <f t="array" ref="B74">IFERROR(INDEX('PEDESTALS (LookupTable)'!$E$4:$E$503,ROW()-3),"")</f>
        <v>House</v>
      </c>
      <c r="C74" s="15" t="str" cm="1">
        <f t="array" ref="C74">IFERROR(INDEX('PEDESTALS (LookupTable)'!$G$4:$G$503,ROW()-3),"")</f>
        <v>DOG HOUSE_STANDARD</v>
      </c>
      <c r="D74" s="14" t="str" cm="1">
        <f t="array" ref="D74">IFERROR(INDEX('PEDESTALS (LookupTable)'!$C$4:$C$503,ROW()-3),"")</f>
        <v>15-1</v>
      </c>
      <c r="E74" s="19"/>
      <c r="F74" s="15" t="str" cm="1">
        <f t="array" ref="F74">IFERROR(INDEX('PEDESTALS (LookupTable)'!$H$4:$H$503,ROW()-3),"")</f>
        <v>DOG HOUSE / House / Visibility: Standard</v>
      </c>
    </row>
    <row r="75" spans="1:6" x14ac:dyDescent="0.25">
      <c r="A75" s="14" cm="1">
        <f t="array" ref="A75">IFERROR(INDEX('PEDESTALS (LookupTable)'!$A$4:$A$503,ROW()-3),"")</f>
        <v>15</v>
      </c>
      <c r="B75" s="14" t="str" cm="1">
        <f t="array" ref="B75">IFERROR(INDEX('PEDESTALS (LookupTable)'!$E$4:$E$503,ROW()-3),"")</f>
        <v>House</v>
      </c>
      <c r="C75" s="15" t="str" cm="1">
        <f t="array" ref="C75">IFERROR(INDEX('PEDESTALS (LookupTable)'!$G$4:$G$503,ROW()-3),"")</f>
        <v>DOG HOUSE_WITH_LABEL</v>
      </c>
      <c r="D75" s="14" t="str" cm="1">
        <f t="array" ref="D75">IFERROR(INDEX('PEDESTALS (LookupTable)'!$C$4:$C$503,ROW()-3),"")</f>
        <v>15-2</v>
      </c>
      <c r="E75" s="19"/>
      <c r="F75" s="15" t="str" cm="1">
        <f t="array" ref="F75">IFERROR(INDEX('PEDESTALS (LookupTable)'!$H$4:$H$503,ROW()-3),"")</f>
        <v>DOG HOUSE / House / Visibility: With Label</v>
      </c>
    </row>
    <row r="76" spans="1:6" x14ac:dyDescent="0.25">
      <c r="A76" s="14" cm="1">
        <f t="array" ref="A76">IFERROR(INDEX('PEDESTALS (LookupTable)'!$A$4:$A$503,ROW()-3),"")</f>
        <v>15</v>
      </c>
      <c r="B76" s="14" t="str" cm="1">
        <f t="array" ref="B76">IFERROR(INDEX('PEDESTALS (LookupTable)'!$E$4:$E$503,ROW()-3),"")</f>
        <v>House</v>
      </c>
      <c r="C76" s="15" t="str" cm="1">
        <f t="array" ref="C76">IFERROR(INDEX('PEDESTALS (LookupTable)'!$G$4:$G$503,ROW()-3),"")</f>
        <v>DOG HOUSE_WITH_CALLOUT</v>
      </c>
      <c r="D76" s="14" t="str" cm="1">
        <f t="array" ref="D76">IFERROR(INDEX('PEDESTALS (LookupTable)'!$C$4:$C$503,ROW()-3),"")</f>
        <v>15-3</v>
      </c>
      <c r="E76" s="19"/>
      <c r="F76" s="15" t="str" cm="1">
        <f t="array" ref="F76">IFERROR(INDEX('PEDESTALS (LookupTable)'!$H$4:$H$503,ROW()-3),"")</f>
        <v>DOG HOUSE / House / Visibility: With Callout</v>
      </c>
    </row>
    <row r="77" spans="1:6" x14ac:dyDescent="0.25">
      <c r="A77" s="14" cm="1">
        <f t="array" ref="A77">IFERROR(INDEX('PEDESTALS (LookupTable)'!$A$4:$A$503,ROW()-3),"")</f>
        <v>15</v>
      </c>
      <c r="B77" s="14" t="str" cm="1">
        <f t="array" ref="B77">IFERROR(INDEX('PEDESTALS (LookupTable)'!$E$4:$E$503,ROW()-3),"")</f>
        <v>House</v>
      </c>
      <c r="C77" s="15" t="str" cm="1">
        <f t="array" ref="C77">IFERROR(INDEX('PEDESTALS (LookupTable)'!$G$4:$G$503,ROW()-3),"")</f>
        <v>DOG HOUSE_EXISTING</v>
      </c>
      <c r="D77" s="14" t="str" cm="1">
        <f t="array" ref="D77">IFERROR(INDEX('PEDESTALS (LookupTable)'!$C$4:$C$503,ROW()-3),"")</f>
        <v>15-4</v>
      </c>
      <c r="E77" s="19"/>
      <c r="F77" s="15" t="str" cm="1">
        <f t="array" ref="F77">IFERROR(INDEX('PEDESTALS (LookupTable)'!$H$4:$H$503,ROW()-3),"")</f>
        <v>DOG HOUSE / House / Visibility: Existing</v>
      </c>
    </row>
    <row r="78" spans="1:6" x14ac:dyDescent="0.25">
      <c r="A78" s="14" cm="1">
        <f t="array" ref="A78">IFERROR(INDEX('PEDESTALS (LookupTable)'!$A$4:$A$503,ROW()-3),"")</f>
        <v>15</v>
      </c>
      <c r="B78" s="14" t="str" cm="1">
        <f t="array" ref="B78">IFERROR(INDEX('PEDESTALS (LookupTable)'!$E$4:$E$503,ROW()-3),"")</f>
        <v>House</v>
      </c>
      <c r="C78" s="15" t="str" cm="1">
        <f t="array" ref="C78">IFERROR(INDEX('PEDESTALS (LookupTable)'!$G$4:$G$503,ROW()-3),"")</f>
        <v>DOG HOUSE_PROPOSED</v>
      </c>
      <c r="D78" s="14" t="str" cm="1">
        <f t="array" ref="D78">IFERROR(INDEX('PEDESTALS (LookupTable)'!$C$4:$C$503,ROW()-3),"")</f>
        <v>15-5</v>
      </c>
      <c r="E78" s="19"/>
      <c r="F78" s="15" t="str" cm="1">
        <f t="array" ref="F78">IFERROR(INDEX('PEDESTALS (LookupTable)'!$H$4:$H$503,ROW()-3),"")</f>
        <v>DOG HOUSE / House / Visibility: Proposed</v>
      </c>
    </row>
  </sheetData>
  <mergeCells count="1">
    <mergeCell ref="A1:F1"/>
  </mergeCells>
  <dataValidations count="1">
    <dataValidation type="list" allowBlank="1" showInputMessage="1" showErrorMessage="1" sqref="E4:E78" xr:uid="{FA82AF02-0EEB-4B3D-BD81-3A3979C25F6A}">
      <formula1>"Y,N"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Parameters</vt:lpstr>
      <vt:lpstr>PEDESTALS (LookupTable)</vt:lpstr>
      <vt:lpstr>PEDESTALS (AutoCAD_Export)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Pedestal Block Lookup Table</dc:title>
  <dc:creator>ChatGPT</dc:creator>
  <cp:lastModifiedBy>Jason Hagen</cp:lastModifiedBy>
  <dcterms:created xsi:type="dcterms:W3CDTF">2026-06-08T20:03:40Z</dcterms:created>
  <dcterms:modified xsi:type="dcterms:W3CDTF">2026-06-08T21:05:42Z</dcterms:modified>
</cp:coreProperties>
</file>